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style1.xml" ContentType="application/vnd.ms-office.chartstyle+xml"/>
  <Override PartName="/xl/charts/colors1.xml" ContentType="application/vnd.ms-office.chartcolorstyle+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style2.xml" ContentType="application/vnd.ms-office.chartstyle+xml"/>
  <Override PartName="/xl/charts/colors2.xml" ContentType="application/vnd.ms-office.chartcolorstyle+xml"/>
  <Override PartName="/xl/charts/chart8.xml" ContentType="application/vnd.openxmlformats-officedocument.drawingml.chart+xml"/>
  <Override PartName="/xl/charts/chart9.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publishItems="1" defaultThemeVersion="166925"/>
  <mc:AlternateContent xmlns:mc="http://schemas.openxmlformats.org/markup-compatibility/2006">
    <mc:Choice Requires="x15">
      <x15ac:absPath xmlns:x15ac="http://schemas.microsoft.com/office/spreadsheetml/2010/11/ac" url="https://tuenl-my.sharepoint.com/personal/t_j_g_m_gubbels_student_tue_nl/Documents/Bep/Redo of values/"/>
    </mc:Choice>
  </mc:AlternateContent>
  <xr:revisionPtr revIDLastSave="933" documentId="8_{33B5164C-B6AD-4398-AE7C-5E5BD53B9155}" xr6:coauthVersionLast="45" xr6:coauthVersionMax="46" xr10:uidLastSave="{AF2C044F-DC92-4204-AA15-D481ADC2BAB2}"/>
  <bookViews>
    <workbookView xWindow="28680" yWindow="-120" windowWidth="29040" windowHeight="15840" xr2:uid="{00000000-000D-0000-FFFF-FFFF00000000}"/>
  </bookViews>
  <sheets>
    <sheet name="Sheet1" sheetId="1" r:id="rId1"/>
    <sheet name="Sheet3" sheetId="3" r:id="rId2"/>
  </sheets>
  <definedNames>
    <definedName name="coordinate">Sheet1!$C$8:$C$1048576</definedName>
    <definedName name="Interval">Sheet1!$L$8:$L$1048576</definedName>
    <definedName name="Points">Sheet1!$A$8:$A$1048576</definedName>
    <definedName name="Px_t">Sheet1!$H$8:$H$1048576</definedName>
    <definedName name="Py_t">Sheet1!$J$8:$J$1048576</definedName>
    <definedName name="t">Sheet1!$G$8:$G$1048576</definedName>
    <definedName name="value_x">Sheet1!$D$8:$D$1048576</definedName>
    <definedName name="value_y">Sheet1!$E$8:$E$1048576</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3" i="1" l="1"/>
  <c r="E3" i="1" l="1"/>
  <c r="AT2" i="1" l="1"/>
  <c r="AR2" i="1"/>
  <c r="L7" i="1"/>
  <c r="AG9" i="1" l="1"/>
  <c r="AE9" i="1" s="1"/>
  <c r="V3" i="1" l="1"/>
  <c r="M7" i="1"/>
  <c r="D9" i="1" s="1"/>
  <c r="X9" i="1" l="1"/>
  <c r="X10" i="1" s="1"/>
  <c r="D16" i="1"/>
  <c r="D21" i="1" s="1"/>
  <c r="D11" i="1"/>
  <c r="E11" i="1" l="1"/>
  <c r="E9" i="1" l="1"/>
  <c r="E14" i="1" s="1"/>
  <c r="D14" i="1"/>
  <c r="E16" i="1"/>
  <c r="E21" i="1"/>
  <c r="N7" i="1"/>
  <c r="D10" i="1" s="1"/>
  <c r="E10" i="1" l="1"/>
  <c r="AB9" i="1"/>
  <c r="AB10" i="1" s="1"/>
  <c r="AB11" i="1" s="1"/>
  <c r="AB12" i="1" s="1"/>
  <c r="AB13" i="1" s="1"/>
  <c r="AB14" i="1" s="1"/>
  <c r="AB15" i="1" s="1"/>
  <c r="AB16" i="1" s="1"/>
  <c r="AB17" i="1" s="1"/>
  <c r="AB18" i="1" s="1"/>
  <c r="AB19" i="1" s="1"/>
  <c r="AB20" i="1" s="1"/>
  <c r="AB21" i="1" s="1"/>
  <c r="AB22" i="1" s="1"/>
  <c r="AB23" i="1" s="1"/>
  <c r="AB24" i="1" s="1"/>
  <c r="AB25" i="1" s="1"/>
  <c r="AB26" i="1" s="1"/>
  <c r="AB27" i="1" s="1"/>
  <c r="AB28" i="1" s="1"/>
  <c r="AB29" i="1" s="1"/>
  <c r="AB30" i="1" s="1"/>
  <c r="AB31" i="1" s="1"/>
  <c r="AB32" i="1" s="1"/>
  <c r="AB33" i="1" s="1"/>
  <c r="AB34" i="1" s="1"/>
  <c r="AB35" i="1" s="1"/>
  <c r="AB36" i="1" s="1"/>
  <c r="AB37" i="1" s="1"/>
  <c r="AB38" i="1" s="1"/>
  <c r="AB39" i="1" s="1"/>
  <c r="AB40" i="1" s="1"/>
  <c r="AB41" i="1" s="1"/>
  <c r="AB42" i="1" s="1"/>
  <c r="AB43" i="1" s="1"/>
  <c r="AB44" i="1" s="1"/>
  <c r="AB45" i="1" s="1"/>
  <c r="AB46" i="1" s="1"/>
  <c r="AB47" i="1" s="1"/>
  <c r="AB48" i="1" s="1"/>
  <c r="AB49" i="1" s="1"/>
  <c r="AB50" i="1" s="1"/>
  <c r="AB51" i="1" s="1"/>
  <c r="AB52" i="1" s="1"/>
  <c r="AB53" i="1" s="1"/>
  <c r="AB54" i="1" s="1"/>
  <c r="AB55" i="1" s="1"/>
  <c r="AB56" i="1" s="1"/>
  <c r="AB57" i="1" s="1"/>
  <c r="AB58" i="1" s="1"/>
  <c r="AB59" i="1" s="1"/>
  <c r="AB60" i="1" s="1"/>
  <c r="AB61" i="1" s="1"/>
  <c r="AB62" i="1" s="1"/>
  <c r="AB63" i="1" s="1"/>
  <c r="AB64" i="1" s="1"/>
  <c r="AB65" i="1" s="1"/>
  <c r="AB66" i="1" s="1"/>
  <c r="AB67" i="1" s="1"/>
  <c r="AB68" i="1" s="1"/>
  <c r="AB69" i="1" s="1"/>
  <c r="AB70" i="1" s="1"/>
  <c r="AB71" i="1" s="1"/>
  <c r="AB72" i="1" s="1"/>
  <c r="AB73" i="1" s="1"/>
  <c r="AB74" i="1" s="1"/>
  <c r="AB75" i="1" s="1"/>
  <c r="AB76" i="1" s="1"/>
  <c r="AB77" i="1" s="1"/>
  <c r="AB78" i="1" s="1"/>
  <c r="AB79" i="1" s="1"/>
  <c r="AB80" i="1" s="1"/>
  <c r="AB81" i="1" s="1"/>
  <c r="AB82" i="1" s="1"/>
  <c r="AB83" i="1" s="1"/>
  <c r="AB84" i="1" s="1"/>
  <c r="AB85" i="1" s="1"/>
  <c r="AB86" i="1" s="1"/>
  <c r="AB87" i="1" s="1"/>
  <c r="AB88" i="1" s="1"/>
  <c r="AB89" i="1" s="1"/>
  <c r="AB90" i="1" s="1"/>
  <c r="AB91" i="1" s="1"/>
  <c r="AB92" i="1" s="1"/>
  <c r="AB93" i="1" s="1"/>
  <c r="AB94" i="1" s="1"/>
  <c r="AB95" i="1" s="1"/>
  <c r="AB96" i="1" s="1"/>
  <c r="AB97" i="1" s="1"/>
  <c r="AB98" i="1" s="1"/>
  <c r="AB99" i="1" s="1"/>
  <c r="AB100" i="1" s="1"/>
  <c r="AB101" i="1" s="1"/>
  <c r="AB102" i="1" s="1"/>
  <c r="AB103" i="1" s="1"/>
  <c r="AB104" i="1" s="1"/>
  <c r="AB105" i="1" s="1"/>
  <c r="AB106" i="1" s="1"/>
  <c r="AB107" i="1" s="1"/>
  <c r="AB108" i="1" s="1"/>
  <c r="D15" i="1" l="1"/>
  <c r="D20" i="1" s="1"/>
  <c r="G9" i="1"/>
  <c r="E15" i="1" l="1"/>
  <c r="E20" i="1"/>
  <c r="G10" i="1"/>
  <c r="X11" i="1" l="1"/>
  <c r="G11" i="1"/>
  <c r="X12" i="1" l="1"/>
  <c r="G12" i="1"/>
  <c r="X13" i="1" l="1"/>
  <c r="G13" i="1"/>
  <c r="X14" i="1" l="1"/>
  <c r="G14" i="1"/>
  <c r="X15" i="1" l="1"/>
  <c r="G15" i="1"/>
  <c r="X16" i="1" l="1"/>
  <c r="G16" i="1"/>
  <c r="X17" i="1" l="1"/>
  <c r="G17" i="1"/>
  <c r="X18" i="1" l="1"/>
  <c r="G18" i="1"/>
  <c r="X19" i="1" l="1"/>
  <c r="G19" i="1"/>
  <c r="X20" i="1" l="1"/>
  <c r="G20" i="1"/>
  <c r="X21" i="1" l="1"/>
  <c r="G21" i="1"/>
  <c r="X22" i="1" l="1"/>
  <c r="G22" i="1"/>
  <c r="X23" i="1" l="1"/>
  <c r="G23" i="1"/>
  <c r="X24" i="1" l="1"/>
  <c r="G24" i="1"/>
  <c r="X25" i="1" l="1"/>
  <c r="G25" i="1"/>
  <c r="X26" i="1" l="1"/>
  <c r="G26" i="1"/>
  <c r="X27" i="1" l="1"/>
  <c r="G27" i="1"/>
  <c r="X28" i="1" l="1"/>
  <c r="G28" i="1"/>
  <c r="X29" i="1" l="1"/>
  <c r="G29" i="1"/>
  <c r="X30" i="1" l="1"/>
  <c r="G30" i="1"/>
  <c r="X31" i="1" l="1"/>
  <c r="G31" i="1"/>
  <c r="X32" i="1" l="1"/>
  <c r="G32" i="1"/>
  <c r="X33" i="1" l="1"/>
  <c r="G33" i="1"/>
  <c r="X34" i="1" l="1"/>
  <c r="G34" i="1"/>
  <c r="X35" i="1" l="1"/>
  <c r="G35" i="1"/>
  <c r="X36" i="1" l="1"/>
  <c r="G36" i="1"/>
  <c r="X37" i="1" l="1"/>
  <c r="G37" i="1"/>
  <c r="X38" i="1" l="1"/>
  <c r="G38" i="1"/>
  <c r="X39" i="1" l="1"/>
  <c r="G39" i="1"/>
  <c r="X40" i="1" l="1"/>
  <c r="G40" i="1"/>
  <c r="X41" i="1" l="1"/>
  <c r="G41" i="1"/>
  <c r="X42" i="1" l="1"/>
  <c r="G42" i="1"/>
  <c r="X43" i="1" l="1"/>
  <c r="G43" i="1"/>
  <c r="X44" i="1" l="1"/>
  <c r="G44" i="1"/>
  <c r="X45" i="1" l="1"/>
  <c r="G45" i="1"/>
  <c r="X46" i="1" l="1"/>
  <c r="G46" i="1"/>
  <c r="X47" i="1" l="1"/>
  <c r="G47" i="1"/>
  <c r="X48" i="1" l="1"/>
  <c r="G48" i="1"/>
  <c r="X49" i="1" l="1"/>
  <c r="G49" i="1"/>
  <c r="X50" i="1" l="1"/>
  <c r="G50" i="1"/>
  <c r="X51" i="1" l="1"/>
  <c r="G51" i="1"/>
  <c r="X52" i="1" l="1"/>
  <c r="G52" i="1"/>
  <c r="X53" i="1" l="1"/>
  <c r="G53" i="1"/>
  <c r="X54" i="1" l="1"/>
  <c r="G54" i="1"/>
  <c r="X55" i="1" l="1"/>
  <c r="G55" i="1"/>
  <c r="X56" i="1" l="1"/>
  <c r="G56" i="1"/>
  <c r="X57" i="1" l="1"/>
  <c r="G57" i="1"/>
  <c r="X58" i="1" l="1"/>
  <c r="G58" i="1"/>
  <c r="X59" i="1" l="1"/>
  <c r="G59" i="1"/>
  <c r="X60" i="1" l="1"/>
  <c r="G60" i="1"/>
  <c r="X61" i="1" l="1"/>
  <c r="G61" i="1"/>
  <c r="X62" i="1" l="1"/>
  <c r="G62" i="1"/>
  <c r="X63" i="1" l="1"/>
  <c r="G63" i="1"/>
  <c r="X64" i="1" l="1"/>
  <c r="G64" i="1"/>
  <c r="X65" i="1" l="1"/>
  <c r="G65" i="1"/>
  <c r="X66" i="1" l="1"/>
  <c r="G66" i="1"/>
  <c r="X67" i="1" l="1"/>
  <c r="G67" i="1"/>
  <c r="X68" i="1" l="1"/>
  <c r="G68" i="1"/>
  <c r="X69" i="1" l="1"/>
  <c r="G69" i="1"/>
  <c r="X70" i="1" l="1"/>
  <c r="G70" i="1"/>
  <c r="X71" i="1" l="1"/>
  <c r="G71" i="1"/>
  <c r="X72" i="1" l="1"/>
  <c r="G72" i="1"/>
  <c r="X73" i="1" l="1"/>
  <c r="G73" i="1"/>
  <c r="X74" i="1" l="1"/>
  <c r="G74" i="1"/>
  <c r="X75" i="1" l="1"/>
  <c r="G75" i="1"/>
  <c r="X76" i="1" l="1"/>
  <c r="G76" i="1"/>
  <c r="X77" i="1" l="1"/>
  <c r="G77" i="1"/>
  <c r="X78" i="1" l="1"/>
  <c r="G78" i="1"/>
  <c r="X79" i="1" l="1"/>
  <c r="G79" i="1"/>
  <c r="X80" i="1" l="1"/>
  <c r="G80" i="1"/>
  <c r="X81" i="1" l="1"/>
  <c r="G81" i="1"/>
  <c r="X82" i="1" l="1"/>
  <c r="G82" i="1"/>
  <c r="X83" i="1" l="1"/>
  <c r="G83" i="1"/>
  <c r="X84" i="1" l="1"/>
  <c r="G84" i="1"/>
  <c r="X85" i="1" l="1"/>
  <c r="G85" i="1"/>
  <c r="X86" i="1" l="1"/>
  <c r="G86" i="1"/>
  <c r="X87" i="1" l="1"/>
  <c r="G87" i="1"/>
  <c r="X88" i="1" l="1"/>
  <c r="G88" i="1"/>
  <c r="X89" i="1" l="1"/>
  <c r="G89" i="1"/>
  <c r="X90" i="1" l="1"/>
  <c r="G90" i="1"/>
  <c r="X91" i="1" l="1"/>
  <c r="G91" i="1"/>
  <c r="X92" i="1" l="1"/>
  <c r="G92" i="1"/>
  <c r="X93" i="1" l="1"/>
  <c r="G93" i="1"/>
  <c r="X94" i="1" l="1"/>
  <c r="G94" i="1"/>
  <c r="X95" i="1" l="1"/>
  <c r="G95" i="1"/>
  <c r="X96" i="1" l="1"/>
  <c r="G96" i="1"/>
  <c r="X97" i="1" l="1"/>
  <c r="G97" i="1"/>
  <c r="X98" i="1" l="1"/>
  <c r="G98" i="1"/>
  <c r="X99" i="1" l="1"/>
  <c r="G99" i="1"/>
  <c r="X100" i="1" l="1"/>
  <c r="G100" i="1"/>
  <c r="X101" i="1" l="1"/>
  <c r="G101" i="1"/>
  <c r="X102" i="1" l="1"/>
  <c r="G102" i="1"/>
  <c r="X103" i="1" l="1"/>
  <c r="G103" i="1"/>
  <c r="X104" i="1" l="1"/>
  <c r="G104" i="1"/>
  <c r="X105" i="1" l="1"/>
  <c r="G105" i="1"/>
  <c r="X106" i="1" l="1"/>
  <c r="G106" i="1"/>
  <c r="X107" i="1" l="1"/>
  <c r="G107" i="1"/>
  <c r="X108" i="1" l="1"/>
  <c r="G108" i="1"/>
  <c r="G109" i="1" l="1"/>
  <c r="G110" i="1" l="1"/>
  <c r="G111" i="1" l="1"/>
  <c r="G112" i="1" l="1"/>
  <c r="G113" i="1" l="1"/>
  <c r="G114" i="1" l="1"/>
  <c r="G115" i="1" l="1"/>
  <c r="G116" i="1" l="1"/>
  <c r="G117" i="1" l="1"/>
  <c r="G118" i="1" l="1"/>
  <c r="G119" i="1" l="1"/>
  <c r="G120" i="1" l="1"/>
  <c r="G121" i="1" l="1"/>
  <c r="G122" i="1" l="1"/>
  <c r="G123" i="1" l="1"/>
  <c r="G124" i="1" l="1"/>
  <c r="G125" i="1" l="1"/>
  <c r="G126" i="1" l="1"/>
  <c r="G127" i="1" l="1"/>
  <c r="G128" i="1" l="1"/>
  <c r="G129" i="1" l="1"/>
  <c r="G130" i="1" l="1"/>
  <c r="G131" i="1" l="1"/>
  <c r="G132" i="1" l="1"/>
  <c r="G133" i="1" l="1"/>
  <c r="G134" i="1" l="1"/>
  <c r="G135" i="1" l="1"/>
  <c r="G136" i="1" l="1"/>
  <c r="G137" i="1" l="1"/>
  <c r="G138" i="1" l="1"/>
  <c r="G139" i="1" l="1"/>
  <c r="G140" i="1" l="1"/>
  <c r="G141" i="1" l="1"/>
  <c r="G142" i="1" l="1"/>
  <c r="G143" i="1" l="1"/>
  <c r="G144" i="1" l="1"/>
  <c r="G145" i="1" l="1"/>
  <c r="G146" i="1" l="1"/>
  <c r="G147" i="1" l="1"/>
  <c r="G148" i="1" l="1"/>
  <c r="G149" i="1" l="1"/>
  <c r="G150" i="1" l="1"/>
  <c r="G151" i="1" l="1"/>
  <c r="G152" i="1" l="1"/>
  <c r="G153" i="1" l="1"/>
  <c r="G154" i="1" l="1"/>
  <c r="G155" i="1" l="1"/>
  <c r="G156" i="1" l="1"/>
  <c r="G157" i="1" l="1"/>
  <c r="G158" i="1" l="1"/>
  <c r="G159" i="1" l="1"/>
  <c r="G160" i="1" l="1"/>
  <c r="G161" i="1" l="1"/>
  <c r="G162" i="1" l="1"/>
  <c r="G163" i="1" l="1"/>
  <c r="G164" i="1" l="1"/>
  <c r="G165" i="1" l="1"/>
  <c r="G166" i="1" l="1"/>
  <c r="G167" i="1" l="1"/>
  <c r="G168" i="1" l="1"/>
  <c r="G169" i="1" l="1"/>
  <c r="G170" i="1" l="1"/>
  <c r="G171" i="1" l="1"/>
  <c r="G172" i="1" l="1"/>
  <c r="G173" i="1" l="1"/>
  <c r="G174" i="1" l="1"/>
  <c r="G175" i="1" l="1"/>
  <c r="G176" i="1" l="1"/>
  <c r="G177" i="1" l="1"/>
  <c r="G178" i="1" l="1"/>
  <c r="G179" i="1" l="1"/>
  <c r="G180" i="1" l="1"/>
  <c r="G181" i="1" l="1"/>
  <c r="G182" i="1" l="1"/>
  <c r="G183" i="1" l="1"/>
  <c r="G184" i="1" l="1"/>
  <c r="G185" i="1" l="1"/>
  <c r="G186" i="1" l="1"/>
  <c r="G187" i="1" l="1"/>
  <c r="G188" i="1" l="1"/>
  <c r="G189" i="1" l="1"/>
  <c r="G190" i="1" l="1"/>
  <c r="G191" i="1" l="1"/>
  <c r="G192" i="1" l="1"/>
  <c r="G193" i="1" l="1"/>
  <c r="G194" i="1" l="1"/>
  <c r="G195" i="1" l="1"/>
  <c r="G196" i="1" l="1"/>
  <c r="G197" i="1" l="1"/>
  <c r="G198" i="1" l="1"/>
  <c r="G199" i="1" l="1"/>
  <c r="G200" i="1" l="1"/>
  <c r="G201" i="1" l="1"/>
  <c r="G202" i="1" l="1"/>
  <c r="G203" i="1" l="1"/>
  <c r="G204" i="1" l="1"/>
  <c r="G205" i="1" l="1"/>
  <c r="G206" i="1" l="1"/>
  <c r="G207" i="1" l="1"/>
  <c r="G208" i="1" l="1"/>
  <c r="G209" i="1" l="1"/>
  <c r="G210" i="1" l="1"/>
  <c r="G211" i="1" l="1"/>
  <c r="G212" i="1" l="1"/>
  <c r="G213" i="1" l="1"/>
  <c r="G214" i="1" l="1"/>
  <c r="G215" i="1" l="1"/>
  <c r="G216" i="1" l="1"/>
  <c r="G217" i="1" l="1"/>
  <c r="G218" i="1" l="1"/>
  <c r="G219" i="1" l="1"/>
  <c r="G220" i="1" l="1"/>
  <c r="G221" i="1" l="1"/>
  <c r="G222" i="1" l="1"/>
  <c r="G223" i="1" l="1"/>
  <c r="G224" i="1" l="1"/>
  <c r="G225" i="1" l="1"/>
  <c r="G226" i="1" l="1"/>
  <c r="G227" i="1" l="1"/>
  <c r="G228" i="1" l="1"/>
  <c r="G229" i="1" l="1"/>
  <c r="G230" i="1" l="1"/>
  <c r="G231" i="1" l="1"/>
  <c r="G232" i="1" l="1"/>
  <c r="G233" i="1" l="1"/>
  <c r="G234" i="1" l="1"/>
  <c r="G235" i="1" l="1"/>
  <c r="G236" i="1" l="1"/>
  <c r="G237" i="1" l="1"/>
  <c r="G238" i="1" l="1"/>
  <c r="G239" i="1" l="1"/>
  <c r="G240" i="1" l="1"/>
  <c r="G241" i="1" l="1"/>
  <c r="G242" i="1" l="1"/>
  <c r="G243" i="1" l="1"/>
  <c r="G244" i="1" l="1"/>
  <c r="G245" i="1" l="1"/>
  <c r="G246" i="1" l="1"/>
  <c r="G247" i="1" l="1"/>
  <c r="G248" i="1" l="1"/>
  <c r="G249" i="1" l="1"/>
  <c r="G250" i="1" l="1"/>
  <c r="G251" i="1" l="1"/>
  <c r="G252" i="1" l="1"/>
  <c r="G253" i="1" l="1"/>
  <c r="G254" i="1" l="1"/>
  <c r="G255" i="1" l="1"/>
  <c r="G256" i="1" l="1"/>
  <c r="G257" i="1" l="1"/>
  <c r="G258" i="1" l="1"/>
  <c r="G259" i="1" l="1"/>
  <c r="G260" i="1" l="1"/>
  <c r="G261" i="1" l="1"/>
  <c r="G262" i="1" l="1"/>
  <c r="G263" i="1" l="1"/>
  <c r="G264" i="1" l="1"/>
  <c r="G265" i="1" l="1"/>
  <c r="G266" i="1" l="1"/>
  <c r="G267" i="1" l="1"/>
  <c r="G268" i="1" l="1"/>
  <c r="G269" i="1" l="1"/>
  <c r="G270" i="1" l="1"/>
  <c r="G271" i="1" l="1"/>
  <c r="G272" i="1" l="1"/>
  <c r="G273" i="1" l="1"/>
  <c r="G274" i="1" l="1"/>
  <c r="G275" i="1" l="1"/>
  <c r="G276" i="1" l="1"/>
  <c r="G277" i="1" l="1"/>
  <c r="G278" i="1" l="1"/>
  <c r="G279" i="1" l="1"/>
  <c r="G280" i="1" l="1"/>
  <c r="G281" i="1" l="1"/>
  <c r="G282" i="1" l="1"/>
  <c r="G283" i="1" l="1"/>
  <c r="G284" i="1" l="1"/>
  <c r="G285" i="1" l="1"/>
  <c r="G286" i="1" l="1"/>
  <c r="G287" i="1" l="1"/>
  <c r="G288" i="1" l="1"/>
  <c r="G289" i="1" l="1"/>
  <c r="G290" i="1" l="1"/>
  <c r="G291" i="1" l="1"/>
  <c r="G292" i="1" l="1"/>
  <c r="G293" i="1" l="1"/>
  <c r="G294" i="1" l="1"/>
  <c r="G295" i="1" l="1"/>
  <c r="G296" i="1" l="1"/>
  <c r="G297" i="1" l="1"/>
  <c r="G298" i="1" l="1"/>
  <c r="G299" i="1" l="1"/>
  <c r="G300" i="1" l="1"/>
  <c r="G301" i="1" l="1"/>
  <c r="G302" i="1" l="1"/>
  <c r="G303" i="1" l="1"/>
  <c r="G304" i="1" l="1"/>
  <c r="G305" i="1" l="1"/>
  <c r="G306" i="1" l="1"/>
  <c r="G307" i="1" l="1"/>
  <c r="G308" i="1" l="1"/>
  <c r="G309" i="1" l="1"/>
  <c r="G310" i="1" l="1"/>
  <c r="G311" i="1" l="1"/>
  <c r="G312" i="1" l="1"/>
  <c r="G313" i="1" l="1"/>
  <c r="G314" i="1" l="1"/>
  <c r="G315" i="1" l="1"/>
  <c r="G316" i="1" l="1"/>
  <c r="G317" i="1" l="1"/>
  <c r="G318" i="1" l="1"/>
  <c r="G319" i="1" l="1"/>
  <c r="G320" i="1" l="1"/>
  <c r="G321" i="1" l="1"/>
  <c r="G322" i="1" l="1"/>
  <c r="G323" i="1" l="1"/>
  <c r="G324" i="1" l="1"/>
  <c r="G325" i="1" l="1"/>
  <c r="G326" i="1" l="1"/>
  <c r="G327" i="1" l="1"/>
  <c r="G328" i="1" l="1"/>
  <c r="G329" i="1" l="1"/>
  <c r="G330" i="1" l="1"/>
  <c r="G331" i="1" l="1"/>
  <c r="G332" i="1" l="1"/>
  <c r="G333" i="1" l="1"/>
  <c r="G334" i="1" l="1"/>
  <c r="G335" i="1" l="1"/>
  <c r="G336" i="1" l="1"/>
  <c r="G337" i="1" l="1"/>
  <c r="G338" i="1" l="1"/>
  <c r="G339" i="1" l="1"/>
  <c r="G340" i="1" l="1"/>
  <c r="G341" i="1" l="1"/>
  <c r="G342" i="1" l="1"/>
  <c r="G343" i="1" l="1"/>
  <c r="G344" i="1" l="1"/>
  <c r="G345" i="1" l="1"/>
  <c r="G346" i="1" l="1"/>
  <c r="G347" i="1" l="1"/>
  <c r="G348" i="1" l="1"/>
  <c r="G349" i="1" l="1"/>
  <c r="G350" i="1" l="1"/>
  <c r="G351" i="1" l="1"/>
  <c r="G352" i="1" l="1"/>
  <c r="G353" i="1" l="1"/>
  <c r="G354" i="1" l="1"/>
  <c r="G355" i="1" l="1"/>
  <c r="G356" i="1" l="1"/>
  <c r="G357" i="1" l="1"/>
  <c r="G358" i="1" l="1"/>
  <c r="G359" i="1" l="1"/>
  <c r="G360" i="1" l="1"/>
  <c r="G361" i="1" l="1"/>
  <c r="G362" i="1" l="1"/>
  <c r="G363" i="1" l="1"/>
  <c r="G364" i="1" l="1"/>
  <c r="G365" i="1" l="1"/>
  <c r="G366" i="1" l="1"/>
  <c r="G367" i="1" l="1"/>
  <c r="G368" i="1" l="1"/>
  <c r="G369" i="1" l="1"/>
  <c r="G370" i="1" l="1"/>
  <c r="G371" i="1" l="1"/>
  <c r="G372" i="1" l="1"/>
  <c r="G373" i="1" l="1"/>
  <c r="G374" i="1" l="1"/>
  <c r="G375" i="1" l="1"/>
  <c r="G376" i="1" l="1"/>
  <c r="G377" i="1" l="1"/>
  <c r="G378" i="1" l="1"/>
  <c r="G379" i="1" l="1"/>
  <c r="G380" i="1" l="1"/>
  <c r="G381" i="1" l="1"/>
  <c r="G382" i="1" l="1"/>
  <c r="G383" i="1" l="1"/>
  <c r="G384" i="1" l="1"/>
  <c r="G385" i="1" l="1"/>
  <c r="G386" i="1" l="1"/>
  <c r="G387" i="1" l="1"/>
  <c r="G388" i="1" l="1"/>
  <c r="G389" i="1" l="1"/>
  <c r="G390" i="1" l="1"/>
  <c r="G391" i="1" l="1"/>
  <c r="G392" i="1" l="1"/>
  <c r="G393" i="1" l="1"/>
  <c r="G394" i="1" l="1"/>
  <c r="G395" i="1" l="1"/>
  <c r="G396" i="1" l="1"/>
  <c r="G397" i="1" l="1"/>
  <c r="G398" i="1" l="1"/>
  <c r="G399" i="1" l="1"/>
  <c r="G400" i="1" l="1"/>
  <c r="G401" i="1" l="1"/>
  <c r="G402" i="1" l="1"/>
  <c r="G403" i="1" l="1"/>
  <c r="G404" i="1" l="1"/>
  <c r="G405" i="1" l="1"/>
  <c r="G406" i="1" l="1"/>
  <c r="G407" i="1" l="1"/>
  <c r="G408" i="1" l="1"/>
  <c r="G409" i="1" l="1"/>
  <c r="G410" i="1" l="1"/>
  <c r="G411" i="1" l="1"/>
  <c r="G412" i="1" l="1"/>
  <c r="G413" i="1" l="1"/>
  <c r="G414" i="1" l="1"/>
  <c r="G415" i="1" l="1"/>
  <c r="G416" i="1" l="1"/>
  <c r="G417" i="1" l="1"/>
  <c r="G418" i="1" l="1"/>
  <c r="G419" i="1" l="1"/>
  <c r="G420" i="1" l="1"/>
  <c r="G421" i="1" l="1"/>
  <c r="G422" i="1" l="1"/>
  <c r="G423" i="1" l="1"/>
  <c r="G424" i="1" l="1"/>
  <c r="G425" i="1" l="1"/>
  <c r="G426" i="1" l="1"/>
  <c r="G427" i="1" l="1"/>
  <c r="G428" i="1" l="1"/>
  <c r="G429" i="1" l="1"/>
  <c r="G430" i="1" l="1"/>
  <c r="G431" i="1" l="1"/>
  <c r="G432" i="1" l="1"/>
  <c r="G433" i="1" l="1"/>
  <c r="G434" i="1" l="1"/>
  <c r="G435" i="1" l="1"/>
  <c r="G436" i="1" l="1"/>
  <c r="G437" i="1" l="1"/>
  <c r="G438" i="1" l="1"/>
  <c r="G439" i="1" l="1"/>
  <c r="G440" i="1" l="1"/>
  <c r="G441" i="1" l="1"/>
  <c r="G442" i="1" l="1"/>
  <c r="G443" i="1" l="1"/>
  <c r="G444" i="1" l="1"/>
  <c r="G445" i="1" l="1"/>
  <c r="G446" i="1" l="1"/>
  <c r="G447" i="1" l="1"/>
  <c r="G448" i="1" l="1"/>
  <c r="G449" i="1" l="1"/>
  <c r="G450" i="1" l="1"/>
  <c r="G451" i="1" l="1"/>
  <c r="G452" i="1" l="1"/>
  <c r="G453" i="1" l="1"/>
  <c r="G454" i="1" l="1"/>
  <c r="G455" i="1" l="1"/>
  <c r="G456" i="1" l="1"/>
  <c r="G457" i="1" l="1"/>
  <c r="G458" i="1" l="1"/>
  <c r="G459" i="1" l="1"/>
  <c r="G460" i="1" l="1"/>
  <c r="G461" i="1" l="1"/>
  <c r="G462" i="1" l="1"/>
  <c r="G463" i="1" l="1"/>
  <c r="G464" i="1" l="1"/>
  <c r="G465" i="1" l="1"/>
  <c r="G466" i="1" l="1"/>
  <c r="G467" i="1" l="1"/>
  <c r="G468" i="1" l="1"/>
  <c r="G469" i="1" l="1"/>
  <c r="G470" i="1" l="1"/>
  <c r="G471" i="1" l="1"/>
  <c r="G472" i="1" l="1"/>
  <c r="G473" i="1" l="1"/>
  <c r="G474" i="1" l="1"/>
  <c r="G475" i="1" l="1"/>
  <c r="G476" i="1" l="1"/>
  <c r="G477" i="1" l="1"/>
  <c r="G478" i="1" l="1"/>
  <c r="G479" i="1" l="1"/>
  <c r="G480" i="1" l="1"/>
  <c r="G481" i="1" l="1"/>
  <c r="G482" i="1" l="1"/>
  <c r="G483" i="1" l="1"/>
  <c r="G484" i="1" l="1"/>
  <c r="G485" i="1" l="1"/>
  <c r="G486" i="1" l="1"/>
  <c r="G487" i="1" l="1"/>
  <c r="G488" i="1" l="1"/>
  <c r="G489" i="1" l="1"/>
  <c r="G490" i="1" l="1"/>
  <c r="G491" i="1" l="1"/>
  <c r="G492" i="1" l="1"/>
  <c r="G493" i="1" l="1"/>
  <c r="G494" i="1" l="1"/>
  <c r="G495" i="1" l="1"/>
  <c r="G496" i="1" l="1"/>
  <c r="G497" i="1" l="1"/>
  <c r="G498" i="1" l="1"/>
  <c r="G499" i="1" l="1"/>
  <c r="G500" i="1" l="1"/>
  <c r="G501" i="1" l="1"/>
  <c r="G502" i="1" l="1"/>
  <c r="G503" i="1" l="1"/>
  <c r="G504" i="1" l="1"/>
  <c r="G505" i="1" l="1"/>
  <c r="G506" i="1" l="1"/>
  <c r="G507" i="1" l="1"/>
  <c r="G508" i="1" l="1"/>
  <c r="G509" i="1" l="1"/>
  <c r="G510" i="1" l="1"/>
  <c r="G511" i="1" l="1"/>
  <c r="G512" i="1" l="1"/>
  <c r="G513" i="1" l="1"/>
  <c r="G514" i="1" l="1"/>
  <c r="G515" i="1" l="1"/>
  <c r="G516" i="1" l="1"/>
  <c r="G517" i="1" l="1"/>
  <c r="G518" i="1" l="1"/>
  <c r="G519" i="1" l="1"/>
  <c r="G520" i="1" l="1"/>
  <c r="G521" i="1" l="1"/>
  <c r="G522" i="1" l="1"/>
  <c r="G523" i="1" l="1"/>
  <c r="G524" i="1" l="1"/>
  <c r="G525" i="1" l="1"/>
  <c r="G526" i="1" l="1"/>
  <c r="G527" i="1" l="1"/>
  <c r="G528" i="1" l="1"/>
  <c r="G529" i="1" l="1"/>
  <c r="G530" i="1" l="1"/>
  <c r="G531" i="1" l="1"/>
  <c r="G532" i="1" l="1"/>
  <c r="G533" i="1" l="1"/>
  <c r="G534" i="1" l="1"/>
  <c r="G535" i="1" l="1"/>
  <c r="G536" i="1" l="1"/>
  <c r="G537" i="1" l="1"/>
  <c r="G538" i="1" l="1"/>
  <c r="G539" i="1" l="1"/>
  <c r="G540" i="1" l="1"/>
  <c r="G541" i="1" l="1"/>
  <c r="G542" i="1" l="1"/>
  <c r="G543" i="1" l="1"/>
  <c r="G544" i="1" l="1"/>
  <c r="G545" i="1" l="1"/>
  <c r="G546" i="1" l="1"/>
  <c r="G547" i="1" l="1"/>
  <c r="G548" i="1" l="1"/>
  <c r="G549" i="1" l="1"/>
  <c r="G550" i="1" l="1"/>
  <c r="G551" i="1" l="1"/>
  <c r="G552" i="1" l="1"/>
  <c r="G553" i="1" l="1"/>
  <c r="G554" i="1" l="1"/>
  <c r="G555" i="1" l="1"/>
  <c r="G556" i="1" l="1"/>
  <c r="G557" i="1" l="1"/>
  <c r="G558" i="1" l="1"/>
  <c r="G559" i="1" l="1"/>
  <c r="G560" i="1" l="1"/>
  <c r="G561" i="1" l="1"/>
  <c r="G562" i="1" l="1"/>
  <c r="G563" i="1" l="1"/>
  <c r="G564" i="1" l="1"/>
  <c r="G565" i="1" l="1"/>
  <c r="G566" i="1" l="1"/>
  <c r="G567" i="1" l="1"/>
  <c r="G568" i="1" l="1"/>
  <c r="G569" i="1" l="1"/>
  <c r="G570" i="1" l="1"/>
  <c r="G571" i="1" l="1"/>
  <c r="G572" i="1" l="1"/>
  <c r="G573" i="1" l="1"/>
  <c r="G574" i="1" l="1"/>
  <c r="G575" i="1" l="1"/>
  <c r="G576" i="1" l="1"/>
  <c r="G577" i="1" l="1"/>
  <c r="G578" i="1" l="1"/>
  <c r="G579" i="1" l="1"/>
  <c r="G580" i="1" l="1"/>
  <c r="G581" i="1" l="1"/>
  <c r="G582" i="1" l="1"/>
  <c r="G583" i="1" l="1"/>
  <c r="G584" i="1" l="1"/>
  <c r="G585" i="1" l="1"/>
  <c r="G586" i="1" l="1"/>
  <c r="G587" i="1" l="1"/>
  <c r="G588" i="1" l="1"/>
  <c r="G589" i="1" l="1"/>
  <c r="G590" i="1" l="1"/>
  <c r="G591" i="1" l="1"/>
  <c r="G592" i="1" l="1"/>
  <c r="G593" i="1" l="1"/>
  <c r="G594" i="1" l="1"/>
  <c r="G595" i="1" l="1"/>
  <c r="G596" i="1" l="1"/>
  <c r="G597" i="1" l="1"/>
  <c r="G598" i="1" l="1"/>
  <c r="G599" i="1" l="1"/>
  <c r="G600" i="1" l="1"/>
  <c r="G601" i="1" l="1"/>
  <c r="G602" i="1" l="1"/>
  <c r="G603" i="1" l="1"/>
  <c r="G604" i="1" l="1"/>
  <c r="G605" i="1" l="1"/>
  <c r="G606" i="1" l="1"/>
  <c r="G607" i="1" l="1"/>
  <c r="G608" i="1" l="1"/>
  <c r="G609" i="1" l="1"/>
  <c r="G610" i="1" l="1"/>
  <c r="G611" i="1" l="1"/>
  <c r="G612" i="1" l="1"/>
  <c r="G613" i="1" l="1"/>
  <c r="G614" i="1" l="1"/>
  <c r="G615" i="1" l="1"/>
  <c r="G616" i="1" l="1"/>
  <c r="G617" i="1" l="1"/>
  <c r="G618" i="1" l="1"/>
  <c r="G619" i="1" l="1"/>
  <c r="G620" i="1" l="1"/>
  <c r="G621" i="1" l="1"/>
  <c r="G622" i="1" l="1"/>
  <c r="G623" i="1" l="1"/>
  <c r="G624" i="1" l="1"/>
  <c r="G625" i="1" l="1"/>
  <c r="G626" i="1" l="1"/>
  <c r="G627" i="1" l="1"/>
  <c r="G628" i="1" l="1"/>
  <c r="G629" i="1" l="1"/>
  <c r="G630" i="1" l="1"/>
  <c r="G631" i="1" l="1"/>
  <c r="G632" i="1" l="1"/>
  <c r="G633" i="1" l="1"/>
  <c r="G634" i="1" l="1"/>
  <c r="G635" i="1" l="1"/>
  <c r="G636" i="1" l="1"/>
  <c r="G637" i="1" l="1"/>
  <c r="G638" i="1" l="1"/>
  <c r="G639" i="1" l="1"/>
  <c r="G640" i="1" l="1"/>
  <c r="G641" i="1" l="1"/>
  <c r="G642" i="1" l="1"/>
  <c r="G643" i="1" l="1"/>
  <c r="G644" i="1" l="1"/>
  <c r="G645" i="1" l="1"/>
  <c r="G646" i="1" l="1"/>
  <c r="G647" i="1" l="1"/>
  <c r="G648" i="1" l="1"/>
  <c r="G649" i="1" l="1"/>
  <c r="G650" i="1" l="1"/>
  <c r="G651" i="1" l="1"/>
  <c r="G652" i="1" l="1"/>
  <c r="G653" i="1" l="1"/>
  <c r="G654" i="1" l="1"/>
  <c r="G655" i="1" l="1"/>
  <c r="G656" i="1" l="1"/>
  <c r="G657" i="1" l="1"/>
  <c r="G658" i="1" l="1"/>
  <c r="G659" i="1" l="1"/>
  <c r="G660" i="1" l="1"/>
  <c r="G661" i="1" l="1"/>
  <c r="G662" i="1" l="1"/>
  <c r="G663" i="1" l="1"/>
  <c r="G664" i="1" l="1"/>
  <c r="G665" i="1" l="1"/>
  <c r="G666" i="1" l="1"/>
  <c r="G667" i="1" l="1"/>
  <c r="G668" i="1" l="1"/>
  <c r="G669" i="1" l="1"/>
  <c r="G670" i="1" l="1"/>
  <c r="G671" i="1" l="1"/>
  <c r="G672" i="1" l="1"/>
  <c r="G673" i="1" l="1"/>
  <c r="G674" i="1" l="1"/>
  <c r="G675" i="1" l="1"/>
  <c r="G676" i="1" l="1"/>
  <c r="G677" i="1" l="1"/>
  <c r="G678" i="1" l="1"/>
  <c r="G679" i="1" l="1"/>
  <c r="G680" i="1" l="1"/>
  <c r="G681" i="1" l="1"/>
  <c r="G682" i="1" l="1"/>
  <c r="G683" i="1" l="1"/>
  <c r="G684" i="1" l="1"/>
  <c r="G685" i="1" l="1"/>
  <c r="G686" i="1" l="1"/>
  <c r="G687" i="1" l="1"/>
  <c r="G688" i="1" l="1"/>
  <c r="G689" i="1" l="1"/>
  <c r="G690" i="1" l="1"/>
  <c r="G691" i="1" l="1"/>
  <c r="G692" i="1" l="1"/>
  <c r="G693" i="1" l="1"/>
  <c r="G694" i="1" l="1"/>
  <c r="G695" i="1" l="1"/>
  <c r="G696" i="1" l="1"/>
  <c r="G697" i="1" l="1"/>
  <c r="G698" i="1" l="1"/>
  <c r="G699" i="1" l="1"/>
  <c r="G700" i="1" l="1"/>
  <c r="G701" i="1" l="1"/>
  <c r="G702" i="1" l="1"/>
  <c r="G703" i="1" l="1"/>
  <c r="G704" i="1" l="1"/>
  <c r="G705" i="1" l="1"/>
  <c r="G706" i="1" l="1"/>
  <c r="G707" i="1" l="1"/>
  <c r="G708" i="1" l="1"/>
  <c r="G709" i="1" l="1"/>
  <c r="G710" i="1" l="1"/>
  <c r="G711" i="1" l="1"/>
  <c r="G712" i="1" l="1"/>
  <c r="G713" i="1" l="1"/>
  <c r="G714" i="1" l="1"/>
  <c r="G715" i="1" l="1"/>
  <c r="G716" i="1" l="1"/>
  <c r="G717" i="1" l="1"/>
  <c r="G718" i="1" l="1"/>
  <c r="G719" i="1" l="1"/>
  <c r="G720" i="1" l="1"/>
  <c r="G721" i="1" l="1"/>
  <c r="G722" i="1" l="1"/>
  <c r="G723" i="1" l="1"/>
  <c r="G724" i="1" l="1"/>
  <c r="G725" i="1" l="1"/>
  <c r="G726" i="1" l="1"/>
  <c r="G727" i="1" l="1"/>
  <c r="G728" i="1" l="1"/>
  <c r="G729" i="1" l="1"/>
  <c r="G730" i="1" l="1"/>
  <c r="G731" i="1" l="1"/>
  <c r="G732" i="1" l="1"/>
  <c r="G733" i="1" l="1"/>
  <c r="G734" i="1" l="1"/>
  <c r="G735" i="1" l="1"/>
  <c r="G736" i="1" l="1"/>
  <c r="G737" i="1" l="1"/>
  <c r="G738" i="1" l="1"/>
  <c r="G739" i="1" l="1"/>
  <c r="G740" i="1" l="1"/>
  <c r="G741" i="1" l="1"/>
  <c r="G742" i="1" l="1"/>
  <c r="G743" i="1" l="1"/>
  <c r="G744" i="1" l="1"/>
  <c r="G745" i="1" l="1"/>
  <c r="G746" i="1" l="1"/>
  <c r="G747" i="1" l="1"/>
  <c r="G748" i="1" l="1"/>
  <c r="G749" i="1" l="1"/>
  <c r="G750" i="1" l="1"/>
  <c r="G751" i="1" l="1"/>
  <c r="G752" i="1" l="1"/>
  <c r="G753" i="1" l="1"/>
  <c r="G754" i="1" l="1"/>
  <c r="G755" i="1" l="1"/>
  <c r="G756" i="1" l="1"/>
  <c r="G757" i="1" l="1"/>
  <c r="G758" i="1" l="1"/>
  <c r="G759" i="1" l="1"/>
  <c r="G760" i="1" l="1"/>
  <c r="G761" i="1" l="1"/>
  <c r="G762" i="1" l="1"/>
  <c r="G763" i="1" l="1"/>
  <c r="G764" i="1" l="1"/>
  <c r="G765" i="1" l="1"/>
  <c r="G766" i="1" l="1"/>
  <c r="G767" i="1" l="1"/>
  <c r="G768" i="1" l="1"/>
  <c r="G769" i="1" l="1"/>
  <c r="G770" i="1" l="1"/>
  <c r="G771" i="1" l="1"/>
  <c r="G772" i="1" l="1"/>
  <c r="G773" i="1" l="1"/>
  <c r="G774" i="1" l="1"/>
  <c r="G775" i="1" l="1"/>
  <c r="G776" i="1" l="1"/>
  <c r="G777" i="1" l="1"/>
  <c r="G778" i="1" l="1"/>
  <c r="G779" i="1" l="1"/>
  <c r="G780" i="1" l="1"/>
  <c r="G781" i="1" l="1"/>
  <c r="G782" i="1" l="1"/>
  <c r="G783" i="1" l="1"/>
  <c r="G784" i="1" l="1"/>
  <c r="G785" i="1" l="1"/>
  <c r="G786" i="1" l="1"/>
  <c r="G787" i="1" l="1"/>
  <c r="G788" i="1" l="1"/>
  <c r="G789" i="1" l="1"/>
  <c r="G790" i="1" l="1"/>
  <c r="G791" i="1" l="1"/>
  <c r="G792" i="1" l="1"/>
  <c r="G793" i="1" l="1"/>
  <c r="G794" i="1" l="1"/>
  <c r="G795" i="1" l="1"/>
  <c r="G796" i="1" l="1"/>
  <c r="G797" i="1" l="1"/>
  <c r="G798" i="1" l="1"/>
  <c r="G799" i="1" l="1"/>
  <c r="G800" i="1" l="1"/>
  <c r="G801" i="1" l="1"/>
  <c r="G802" i="1" l="1"/>
  <c r="G803" i="1" l="1"/>
  <c r="G804" i="1" l="1"/>
  <c r="G805" i="1" l="1"/>
  <c r="G806" i="1" l="1"/>
  <c r="G807" i="1" l="1"/>
  <c r="G808" i="1" l="1"/>
  <c r="G809" i="1" l="1"/>
  <c r="G810" i="1" l="1"/>
  <c r="G811" i="1" l="1"/>
  <c r="G812" i="1" l="1"/>
  <c r="G813" i="1" l="1"/>
  <c r="G814" i="1" l="1"/>
  <c r="G815" i="1" l="1"/>
  <c r="G816" i="1" l="1"/>
  <c r="G817" i="1" l="1"/>
  <c r="G818" i="1" l="1"/>
  <c r="G819" i="1" l="1"/>
  <c r="G820" i="1" l="1"/>
  <c r="G821" i="1" l="1"/>
  <c r="G822" i="1" l="1"/>
  <c r="G823" i="1" l="1"/>
  <c r="G824" i="1" l="1"/>
  <c r="G825" i="1" l="1"/>
  <c r="G826" i="1" l="1"/>
  <c r="G827" i="1" l="1"/>
  <c r="G828" i="1" l="1"/>
  <c r="G829" i="1" l="1"/>
  <c r="G830" i="1" l="1"/>
  <c r="G831" i="1" l="1"/>
  <c r="G832" i="1" l="1"/>
  <c r="G833" i="1" l="1"/>
  <c r="G834" i="1" l="1"/>
  <c r="G835" i="1" l="1"/>
  <c r="G836" i="1" l="1"/>
  <c r="G837" i="1" l="1"/>
  <c r="G838" i="1" l="1"/>
  <c r="G839" i="1" l="1"/>
  <c r="G840" i="1" l="1"/>
  <c r="G841" i="1" l="1"/>
  <c r="G842" i="1" l="1"/>
  <c r="G843" i="1" l="1"/>
  <c r="G844" i="1" l="1"/>
  <c r="G845" i="1" l="1"/>
  <c r="G846" i="1" l="1"/>
  <c r="G847" i="1" l="1"/>
  <c r="G848" i="1" l="1"/>
  <c r="G849" i="1" l="1"/>
  <c r="G850" i="1" l="1"/>
  <c r="G851" i="1" l="1"/>
  <c r="G852" i="1" l="1"/>
  <c r="G853" i="1" l="1"/>
  <c r="G854" i="1" l="1"/>
  <c r="G855" i="1" l="1"/>
  <c r="G856" i="1" l="1"/>
  <c r="G857" i="1" l="1"/>
  <c r="G858" i="1" l="1"/>
  <c r="G859" i="1" l="1"/>
  <c r="G860" i="1" l="1"/>
  <c r="G861" i="1" l="1"/>
  <c r="G862" i="1" l="1"/>
  <c r="G863" i="1" l="1"/>
  <c r="G864" i="1" l="1"/>
  <c r="G865" i="1" l="1"/>
  <c r="G866" i="1" l="1"/>
  <c r="G867" i="1" l="1"/>
  <c r="G868" i="1" l="1"/>
  <c r="G869" i="1" l="1"/>
  <c r="G870" i="1" l="1"/>
  <c r="G871" i="1" l="1"/>
  <c r="G872" i="1" l="1"/>
  <c r="G873" i="1" l="1"/>
  <c r="G874" i="1" l="1"/>
  <c r="G875" i="1" l="1"/>
  <c r="G876" i="1" l="1"/>
  <c r="G877" i="1" l="1"/>
  <c r="G878" i="1" l="1"/>
  <c r="G879" i="1" l="1"/>
  <c r="G880" i="1" l="1"/>
  <c r="G881" i="1" l="1"/>
  <c r="G882" i="1" l="1"/>
  <c r="G883" i="1" l="1"/>
  <c r="G884" i="1" l="1"/>
  <c r="G885" i="1" l="1"/>
  <c r="G886" i="1" l="1"/>
  <c r="G887" i="1" l="1"/>
  <c r="G888" i="1" l="1"/>
  <c r="G889" i="1" l="1"/>
  <c r="G890" i="1" l="1"/>
  <c r="G891" i="1" l="1"/>
  <c r="G892" i="1" l="1"/>
  <c r="G893" i="1" l="1"/>
  <c r="G894" i="1" l="1"/>
  <c r="G895" i="1" l="1"/>
  <c r="G896" i="1" l="1"/>
  <c r="G897" i="1" l="1"/>
  <c r="G898" i="1" l="1"/>
  <c r="G899" i="1" l="1"/>
  <c r="G900" i="1" l="1"/>
  <c r="G901" i="1" l="1"/>
  <c r="G902" i="1" l="1"/>
  <c r="G903" i="1" l="1"/>
  <c r="G904" i="1" l="1"/>
  <c r="G905" i="1" l="1"/>
  <c r="G906" i="1" l="1"/>
  <c r="G907" i="1" l="1"/>
  <c r="G908" i="1" l="1"/>
  <c r="G909" i="1" l="1"/>
  <c r="G910" i="1" l="1"/>
  <c r="G911" i="1" l="1"/>
  <c r="G912" i="1" l="1"/>
  <c r="G913" i="1" l="1"/>
  <c r="G914" i="1" l="1"/>
  <c r="G915" i="1" l="1"/>
  <c r="G916" i="1" l="1"/>
  <c r="G917" i="1" l="1"/>
  <c r="G918" i="1" l="1"/>
  <c r="G919" i="1" l="1"/>
  <c r="G920" i="1" l="1"/>
  <c r="G921" i="1" l="1"/>
  <c r="G922" i="1" l="1"/>
  <c r="G923" i="1" l="1"/>
  <c r="G924" i="1" l="1"/>
  <c r="G925" i="1" l="1"/>
  <c r="G926" i="1" l="1"/>
  <c r="G927" i="1" l="1"/>
  <c r="G928" i="1" l="1"/>
  <c r="G929" i="1" l="1"/>
  <c r="G930" i="1" l="1"/>
  <c r="G931" i="1" l="1"/>
  <c r="G932" i="1" l="1"/>
  <c r="G933" i="1" l="1"/>
  <c r="G934" i="1" l="1"/>
  <c r="G935" i="1" l="1"/>
  <c r="G936" i="1" l="1"/>
  <c r="G937" i="1" l="1"/>
  <c r="G938" i="1" l="1"/>
  <c r="G939" i="1" l="1"/>
  <c r="G940" i="1" l="1"/>
  <c r="G941" i="1" l="1"/>
  <c r="G942" i="1" l="1"/>
  <c r="G943" i="1" l="1"/>
  <c r="G944" i="1" l="1"/>
  <c r="G945" i="1" l="1"/>
  <c r="G946" i="1" l="1"/>
  <c r="G947" i="1" l="1"/>
  <c r="G948" i="1" l="1"/>
  <c r="G949" i="1" l="1"/>
  <c r="G950" i="1" l="1"/>
  <c r="G951" i="1" l="1"/>
  <c r="G952" i="1" l="1"/>
  <c r="G953" i="1" l="1"/>
  <c r="G954" i="1" l="1"/>
  <c r="G955" i="1" l="1"/>
  <c r="G956" i="1" l="1"/>
  <c r="G957" i="1" l="1"/>
  <c r="G958" i="1" l="1"/>
  <c r="G959" i="1" l="1"/>
  <c r="G960" i="1" l="1"/>
  <c r="G961" i="1" l="1"/>
  <c r="G962" i="1" l="1"/>
  <c r="G963" i="1" l="1"/>
  <c r="G964" i="1" l="1"/>
  <c r="G965" i="1" l="1"/>
  <c r="G966" i="1" l="1"/>
  <c r="G967" i="1" l="1"/>
  <c r="G968" i="1" l="1"/>
  <c r="G969" i="1" l="1"/>
  <c r="G970" i="1" l="1"/>
  <c r="G971" i="1" l="1"/>
  <c r="G972" i="1" l="1"/>
  <c r="G973" i="1" l="1"/>
  <c r="G974" i="1" l="1"/>
  <c r="G975" i="1" l="1"/>
  <c r="G976" i="1" l="1"/>
  <c r="G977" i="1" l="1"/>
  <c r="G978" i="1" l="1"/>
  <c r="G979" i="1" l="1"/>
  <c r="G980" i="1" l="1"/>
  <c r="G981" i="1" l="1"/>
  <c r="G982" i="1" l="1"/>
  <c r="G983" i="1" l="1"/>
  <c r="G984" i="1" l="1"/>
  <c r="G985" i="1" l="1"/>
  <c r="G986" i="1" l="1"/>
  <c r="G987" i="1" l="1"/>
  <c r="G988" i="1" l="1"/>
  <c r="G989" i="1" l="1"/>
  <c r="G990" i="1" l="1"/>
  <c r="G991" i="1" l="1"/>
  <c r="G992" i="1" l="1"/>
  <c r="G993" i="1" l="1"/>
  <c r="G994" i="1" l="1"/>
  <c r="G995" i="1" l="1"/>
  <c r="G996" i="1" l="1"/>
  <c r="G997" i="1" l="1"/>
  <c r="G998" i="1" l="1"/>
  <c r="G999" i="1" l="1"/>
  <c r="G1000" i="1" l="1"/>
  <c r="G1001" i="1" l="1"/>
  <c r="G1002" i="1" l="1"/>
  <c r="G1003" i="1" l="1"/>
  <c r="G1004" i="1" l="1"/>
  <c r="G1005" i="1" l="1"/>
  <c r="G1006" i="1" l="1"/>
  <c r="G1007" i="1" l="1"/>
  <c r="G1008" i="1" l="1"/>
  <c r="H355" i="1"/>
  <c r="H736" i="1" l="1"/>
  <c r="H104" i="1"/>
  <c r="H779" i="1"/>
  <c r="H549" i="1"/>
  <c r="H607" i="1"/>
  <c r="H837" i="1"/>
  <c r="H566" i="1"/>
  <c r="H789" i="1"/>
  <c r="H390" i="1"/>
  <c r="H1008" i="1"/>
  <c r="H756" i="1"/>
  <c r="H675" i="1"/>
  <c r="H1002" i="1"/>
  <c r="H135" i="1"/>
  <c r="H341" i="1"/>
  <c r="H555" i="1"/>
  <c r="H397" i="1"/>
  <c r="H134" i="1"/>
  <c r="H498" i="1"/>
  <c r="H414" i="1"/>
  <c r="H136" i="1"/>
  <c r="H628" i="1"/>
  <c r="H469" i="1"/>
  <c r="H352" i="1"/>
  <c r="H485" i="1"/>
  <c r="H504" i="1"/>
  <c r="H114" i="1"/>
  <c r="D19" i="1"/>
  <c r="H590" i="1"/>
  <c r="H169" i="1"/>
  <c r="H261" i="1"/>
  <c r="H698" i="1"/>
  <c r="H742" i="1"/>
  <c r="H840" i="1"/>
  <c r="H1000" i="1"/>
  <c r="H324" i="1"/>
  <c r="H350" i="1"/>
  <c r="H385" i="1"/>
  <c r="H34" i="1"/>
  <c r="H404" i="1"/>
  <c r="H618" i="1"/>
  <c r="H937" i="1"/>
  <c r="H832" i="1"/>
  <c r="H900" i="1"/>
  <c r="H949" i="1"/>
  <c r="H888" i="1"/>
  <c r="H545" i="1"/>
  <c r="H579" i="1"/>
  <c r="H39" i="1"/>
  <c r="H510" i="1"/>
  <c r="H130" i="1"/>
  <c r="H269" i="1"/>
  <c r="H694" i="1"/>
  <c r="H626" i="1"/>
  <c r="H686" i="1"/>
  <c r="H652" i="1"/>
  <c r="H448" i="1"/>
  <c r="H431" i="1"/>
  <c r="H415" i="1"/>
  <c r="H955" i="1"/>
  <c r="H484" i="1"/>
  <c r="H991" i="1"/>
  <c r="H863" i="1"/>
  <c r="H663" i="1"/>
  <c r="H28" i="1"/>
  <c r="H253" i="1"/>
  <c r="H165" i="1"/>
  <c r="H512" i="1"/>
  <c r="H112" i="1"/>
  <c r="H770" i="1"/>
  <c r="H683" i="1"/>
  <c r="H748" i="1"/>
  <c r="H916" i="1"/>
  <c r="H51" i="1"/>
  <c r="H587" i="1"/>
  <c r="H762" i="1"/>
  <c r="H296" i="1"/>
  <c r="H377" i="1"/>
  <c r="H162" i="1"/>
  <c r="H649" i="1"/>
  <c r="H323" i="1"/>
  <c r="H36" i="1"/>
  <c r="H230" i="1"/>
  <c r="H219" i="1"/>
  <c r="H234" i="1"/>
  <c r="H320" i="1"/>
  <c r="H192" i="1"/>
  <c r="H74" i="1"/>
  <c r="H214" i="1"/>
  <c r="H298" i="1"/>
  <c r="H99" i="1"/>
  <c r="H242" i="1"/>
  <c r="H516" i="1"/>
  <c r="H999" i="1"/>
  <c r="H595" i="1"/>
  <c r="H205" i="1"/>
  <c r="H187" i="1"/>
  <c r="H609" i="1"/>
  <c r="H454" i="1"/>
  <c r="H665" i="1"/>
  <c r="H83" i="1"/>
  <c r="H552" i="1"/>
  <c r="H883" i="1"/>
  <c r="H775" i="1"/>
  <c r="H53" i="1"/>
  <c r="H662" i="1"/>
  <c r="H975" i="1"/>
  <c r="H655" i="1"/>
  <c r="H290" i="1"/>
  <c r="H703" i="1"/>
  <c r="H656" i="1"/>
  <c r="H641" i="1"/>
  <c r="H216" i="1"/>
  <c r="H882" i="1"/>
  <c r="H743" i="1"/>
  <c r="H366" i="1"/>
  <c r="H544" i="1"/>
  <c r="H289" i="1"/>
  <c r="H121" i="1"/>
  <c r="H166" i="1"/>
  <c r="H465" i="1"/>
  <c r="H797" i="1"/>
  <c r="H885" i="1"/>
  <c r="H986" i="1"/>
  <c r="H843" i="1"/>
  <c r="H488" i="1"/>
  <c r="H202" i="1"/>
  <c r="H842" i="1"/>
  <c r="H215" i="1"/>
  <c r="H990" i="1"/>
  <c r="H836" i="1"/>
  <c r="H887" i="1"/>
  <c r="H91" i="1"/>
  <c r="H198" i="1"/>
  <c r="H942" i="1"/>
  <c r="H459" i="1"/>
  <c r="H507" i="1"/>
  <c r="H148" i="1"/>
  <c r="H527" i="1"/>
  <c r="H499" i="1"/>
  <c r="H240" i="1"/>
  <c r="H982" i="1"/>
  <c r="H384" i="1"/>
  <c r="H792" i="1"/>
  <c r="H928" i="1"/>
  <c r="H65" i="1"/>
  <c r="H420" i="1"/>
  <c r="H620" i="1"/>
  <c r="H722" i="1"/>
  <c r="H518" i="1"/>
  <c r="H387" i="1"/>
  <c r="H408" i="1"/>
  <c r="H677" i="1"/>
  <c r="H217" i="1"/>
  <c r="H357" i="1"/>
  <c r="H196" i="1"/>
  <c r="H424" i="1"/>
  <c r="H92" i="1"/>
  <c r="H391" i="1"/>
  <c r="H319" i="1"/>
  <c r="H849" i="1"/>
  <c r="H193" i="1"/>
  <c r="H1003" i="1"/>
  <c r="H921" i="1"/>
  <c r="H894" i="1"/>
  <c r="H223" i="1"/>
  <c r="H637" i="1"/>
  <c r="H271" i="1"/>
  <c r="H541" i="1"/>
  <c r="H69" i="1"/>
  <c r="H440" i="1"/>
  <c r="H919" i="1"/>
  <c r="H614" i="1"/>
  <c r="H759" i="1"/>
  <c r="H622" i="1"/>
  <c r="H981" i="1"/>
  <c r="H926" i="1"/>
  <c r="H657" i="1"/>
  <c r="H10" i="1"/>
  <c r="H481" i="1"/>
  <c r="H58" i="1"/>
  <c r="H246" i="1"/>
  <c r="H771" i="1"/>
  <c r="H767" i="1"/>
  <c r="H701" i="1"/>
  <c r="H423" i="1"/>
  <c r="H325" i="1"/>
  <c r="H407" i="1"/>
  <c r="H282" i="1"/>
  <c r="H992" i="1"/>
  <c r="H834" i="1"/>
  <c r="H689" i="1"/>
  <c r="H576" i="1"/>
  <c r="H879" i="1"/>
  <c r="H279" i="1"/>
  <c r="H490" i="1"/>
  <c r="H118" i="1"/>
  <c r="H303" i="1"/>
  <c r="H753" i="1"/>
  <c r="H396" i="1"/>
  <c r="H231" i="1"/>
  <c r="H157" i="1"/>
  <c r="H332" i="1"/>
  <c r="H113" i="1"/>
  <c r="H648" i="1"/>
  <c r="H226" i="1"/>
  <c r="H297" i="1"/>
  <c r="H232" i="1"/>
  <c r="H603" i="1"/>
  <c r="H249" i="1"/>
  <c r="H725" i="1"/>
  <c r="H97" i="1"/>
  <c r="H170" i="1"/>
  <c r="H183" i="1"/>
  <c r="H88" i="1"/>
  <c r="H225" i="1"/>
  <c r="H457" i="1"/>
  <c r="H265" i="1"/>
  <c r="H954" i="1"/>
  <c r="H292" i="1"/>
  <c r="H441" i="1"/>
  <c r="H833" i="1"/>
  <c r="H693" i="1"/>
  <c r="H967" i="1"/>
  <c r="H839" i="1"/>
  <c r="H766" i="1"/>
  <c r="H455" i="1"/>
  <c r="H427" i="1"/>
  <c r="H636" i="1"/>
  <c r="H368" i="1"/>
  <c r="H22" i="1"/>
  <c r="H119" i="1"/>
  <c r="H597" i="1"/>
  <c r="H914" i="1"/>
  <c r="H482" i="1"/>
  <c r="H838" i="1"/>
  <c r="H895" i="1"/>
  <c r="H146" i="1"/>
  <c r="H67" i="1"/>
  <c r="H539" i="1"/>
  <c r="H244" i="1"/>
  <c r="H551" i="1"/>
  <c r="H907" i="1"/>
  <c r="H658" i="1"/>
  <c r="H621" i="1"/>
  <c r="H816" i="1"/>
  <c r="H574" i="1"/>
  <c r="H224" i="1"/>
  <c r="H523" i="1"/>
  <c r="H24" i="1"/>
  <c r="H706" i="1"/>
  <c r="H275" i="1"/>
  <c r="H939" i="1"/>
  <c r="H878" i="1"/>
  <c r="H487" i="1"/>
  <c r="H473" i="1"/>
  <c r="H329" i="1"/>
  <c r="H617" i="1"/>
  <c r="H204" i="1"/>
  <c r="H734" i="1"/>
  <c r="H409" i="1"/>
  <c r="H158" i="1"/>
  <c r="H233" i="1"/>
  <c r="H76" i="1"/>
  <c r="H978" i="1"/>
  <c r="H16" i="1"/>
  <c r="H588" i="1"/>
  <c r="H86" i="1"/>
  <c r="H667" i="1"/>
  <c r="H78" i="1"/>
  <c r="H182" i="1"/>
  <c r="H106" i="1"/>
  <c r="H356" i="1"/>
  <c r="H765" i="1"/>
  <c r="H519" i="1"/>
  <c r="H605" i="1"/>
  <c r="H333" i="1"/>
  <c r="H123" i="1"/>
  <c r="H564" i="1"/>
  <c r="H98" i="1"/>
  <c r="H463" i="1"/>
  <c r="H55" i="1"/>
  <c r="H372" i="1"/>
  <c r="H752" i="1"/>
  <c r="H960" i="1"/>
  <c r="H911" i="1"/>
  <c r="H962" i="1"/>
  <c r="H813" i="1"/>
  <c r="H460" i="1"/>
  <c r="H128" i="1"/>
  <c r="H477" i="1"/>
  <c r="H207" i="1"/>
  <c r="H496" i="1"/>
  <c r="H72" i="1"/>
  <c r="H751" i="1"/>
  <c r="H969" i="1"/>
  <c r="H138" i="1"/>
  <c r="H757" i="1"/>
  <c r="H974" i="1"/>
  <c r="H264" i="1"/>
  <c r="H575" i="1"/>
  <c r="H255" i="1"/>
  <c r="H857" i="1"/>
  <c r="H318" i="1"/>
  <c r="H835" i="1"/>
  <c r="H700" i="1"/>
  <c r="H951" i="1"/>
  <c r="H608" i="1"/>
  <c r="H378" i="1"/>
  <c r="H209" i="1"/>
  <c r="H392" i="1"/>
  <c r="H602" i="1"/>
  <c r="H933" i="1"/>
  <c r="H987" i="1"/>
  <c r="H787" i="1"/>
  <c r="H965" i="1"/>
  <c r="H21" i="1"/>
  <c r="H278" i="1"/>
  <c r="H383" i="1"/>
  <c r="H944" i="1"/>
  <c r="H750" i="1"/>
  <c r="H731" i="1"/>
  <c r="H592" i="1"/>
  <c r="H309" i="1"/>
  <c r="H17" i="1"/>
  <c r="H850" i="1"/>
  <c r="H262" i="1"/>
  <c r="H167" i="1"/>
  <c r="H530" i="1"/>
  <c r="H630" i="1"/>
  <c r="H260" i="1"/>
  <c r="H629" i="1"/>
  <c r="H405" i="1"/>
  <c r="H31" i="1"/>
  <c r="H9" i="1"/>
  <c r="H160" i="1"/>
  <c r="H713" i="1"/>
  <c r="H853" i="1"/>
  <c r="H362" i="1"/>
  <c r="H714" i="1"/>
  <c r="H540" i="1"/>
  <c r="H525" i="1"/>
  <c r="H889" i="1"/>
  <c r="H773" i="1"/>
  <c r="H719" i="1"/>
  <c r="H79" i="1"/>
  <c r="H956" i="1"/>
  <c r="H399" i="1"/>
  <c r="H413" i="1"/>
  <c r="H237" i="1"/>
  <c r="H328" i="1"/>
  <c r="H781" i="1"/>
  <c r="H718" i="1"/>
  <c r="H737" i="1"/>
  <c r="H930" i="1"/>
  <c r="H873" i="1"/>
  <c r="H800" i="1"/>
  <c r="H474" i="1"/>
  <c r="H363" i="1"/>
  <c r="H139" i="1"/>
  <c r="H548" i="1"/>
  <c r="H12" i="1"/>
  <c r="H305" i="1"/>
  <c r="H660" i="1"/>
  <c r="H724" i="1"/>
  <c r="H822" i="1"/>
  <c r="H712" i="1"/>
  <c r="H312" i="1"/>
  <c r="H60" i="1"/>
  <c r="H786" i="1"/>
  <c r="H71" i="1"/>
  <c r="H538" i="1"/>
  <c r="H871" i="1"/>
  <c r="H744" i="1"/>
  <c r="H443" i="1"/>
  <c r="H717" i="1"/>
  <c r="H533" i="1"/>
  <c r="H201" i="1"/>
  <c r="H428" i="1"/>
  <c r="H20" i="1"/>
  <c r="H625" i="1"/>
  <c r="H820" i="1"/>
  <c r="H865" i="1"/>
  <c r="H174" i="1"/>
  <c r="H29" i="1"/>
  <c r="H184" i="1"/>
  <c r="H194" i="1"/>
  <c r="H905" i="1"/>
  <c r="H445" i="1"/>
  <c r="H910" i="1"/>
  <c r="H159" i="1"/>
  <c r="H497" i="1"/>
  <c r="H432" i="1"/>
  <c r="H111" i="1"/>
  <c r="H680" i="1"/>
  <c r="H388" i="1"/>
  <c r="H556" i="1"/>
  <c r="H248" i="1"/>
  <c r="H471" i="1"/>
  <c r="H172" i="1"/>
  <c r="H149" i="1"/>
  <c r="H348" i="1"/>
  <c r="H347" i="1"/>
  <c r="H817" i="1"/>
  <c r="H690" i="1"/>
  <c r="H639" i="1"/>
  <c r="H322" i="1"/>
  <c r="H267" i="1"/>
  <c r="H379" i="1"/>
  <c r="H200" i="1"/>
  <c r="H723" i="1"/>
  <c r="H11" i="1"/>
  <c r="H418" i="1"/>
  <c r="H755" i="1"/>
  <c r="H338" i="1"/>
  <c r="H659" i="1"/>
  <c r="H710" i="1"/>
  <c r="H855" i="1"/>
  <c r="H109" i="1"/>
  <c r="H589" i="1"/>
  <c r="H772" i="1"/>
  <c r="H327" i="1"/>
  <c r="H880" i="1"/>
  <c r="H108" i="1"/>
  <c r="H912" i="1"/>
  <c r="H616" i="1"/>
  <c r="H591" i="1"/>
  <c r="H586" i="1"/>
  <c r="H175" i="1"/>
  <c r="H601" i="1"/>
  <c r="H144" i="1"/>
  <c r="H168" i="1"/>
  <c r="H995" i="1"/>
  <c r="H913" i="1"/>
  <c r="H864" i="1"/>
  <c r="H730" i="1"/>
  <c r="H129" i="1"/>
  <c r="H358" i="1"/>
  <c r="H197" i="1"/>
  <c r="H257" i="1"/>
  <c r="H582" i="1"/>
  <c r="H872" i="1"/>
  <c r="H546" i="1"/>
  <c r="H964" i="1"/>
  <c r="H252" i="1"/>
  <c r="H238" i="1"/>
  <c r="H228" i="1"/>
  <c r="H654" i="1"/>
  <c r="H359" i="1"/>
  <c r="H653" i="1"/>
  <c r="H284" i="1"/>
  <c r="H210" i="1"/>
  <c r="H645" i="1"/>
  <c r="H145" i="1"/>
  <c r="H40" i="1"/>
  <c r="H856" i="1"/>
  <c r="H206" i="1"/>
  <c r="H958" i="1"/>
  <c r="H528" i="1"/>
  <c r="H503" i="1"/>
  <c r="H395" i="1"/>
  <c r="H598" i="1"/>
  <c r="H45" i="1"/>
  <c r="H285" i="1"/>
  <c r="H468" i="1"/>
  <c r="H505" i="1"/>
  <c r="H798" i="1"/>
  <c r="H664" i="1"/>
  <c r="H276" i="1"/>
  <c r="H543" i="1"/>
  <c r="H317" i="1"/>
  <c r="H932" i="1"/>
  <c r="H382" i="1"/>
  <c r="H8" i="1"/>
  <c r="H917" i="1"/>
  <c r="H807" i="1"/>
  <c r="H606" i="1"/>
  <c r="H823" i="1"/>
  <c r="H866" i="1"/>
  <c r="H644" i="1"/>
  <c r="H449" i="1"/>
  <c r="H105" i="1"/>
  <c r="H732" i="1"/>
  <c r="H94" i="1"/>
  <c r="H393" i="1"/>
  <c r="H791" i="1"/>
  <c r="H946" i="1"/>
  <c r="H997" i="1"/>
  <c r="H191" i="1"/>
  <c r="H412" i="1"/>
  <c r="H373" i="1"/>
  <c r="H376" i="1"/>
  <c r="H585" i="1"/>
  <c r="H769" i="1"/>
  <c r="H124" i="1"/>
  <c r="H117" i="1"/>
  <c r="H398" i="1"/>
  <c r="H447" i="1"/>
  <c r="H122" i="1"/>
  <c r="H494" i="1"/>
  <c r="H339" i="1"/>
  <c r="H758" i="1"/>
  <c r="H434" i="1"/>
  <c r="H365" i="1"/>
  <c r="H486" i="1"/>
  <c r="H195" i="1"/>
  <c r="H814" i="1"/>
  <c r="H450" i="1"/>
  <c r="H56" i="1"/>
  <c r="H299" i="1"/>
  <c r="H115" i="1"/>
  <c r="H557" i="1"/>
  <c r="H301" i="1"/>
  <c r="H561" i="1"/>
  <c r="H178" i="1"/>
  <c r="H918" i="1"/>
  <c r="H306" i="1"/>
  <c r="H514" i="1"/>
  <c r="H1005" i="1"/>
  <c r="H708" i="1"/>
  <c r="H673" i="1"/>
  <c r="H326" i="1"/>
  <c r="H446" i="1"/>
  <c r="H44" i="1"/>
  <c r="H402" i="1"/>
  <c r="H133" i="1"/>
  <c r="H155" i="1"/>
  <c r="H796" i="1"/>
  <c r="H180" i="1"/>
  <c r="H704" i="1"/>
  <c r="H886" i="1"/>
  <c r="H746" i="1"/>
  <c r="H489" i="1"/>
  <c r="H941" i="1"/>
  <c r="H868" i="1"/>
  <c r="H280" i="1"/>
  <c r="H429" i="1"/>
  <c r="H827" i="1"/>
  <c r="H799" i="1"/>
  <c r="H635" i="1"/>
  <c r="H801" i="1"/>
  <c r="H631" i="1"/>
  <c r="H116" i="1"/>
  <c r="H562" i="1"/>
  <c r="H804" i="1"/>
  <c r="H705" i="1"/>
  <c r="H85" i="1"/>
  <c r="H890" i="1"/>
  <c r="H52" i="1"/>
  <c r="H634" i="1"/>
  <c r="H273" i="1"/>
  <c r="H670" i="1"/>
  <c r="H229" i="1"/>
  <c r="H571" i="1"/>
  <c r="H272" i="1"/>
  <c r="H749" i="1"/>
  <c r="H536" i="1"/>
  <c r="H274" i="1"/>
  <c r="H738" i="1"/>
  <c r="H818" i="1"/>
  <c r="H478" i="1"/>
  <c r="H1006" i="1"/>
  <c r="H218" i="1"/>
  <c r="H294" i="1"/>
  <c r="H410" i="1"/>
  <c r="H239" i="1"/>
  <c r="H522" i="1"/>
  <c r="H89" i="1"/>
  <c r="H491" i="1"/>
  <c r="H976" i="1"/>
  <c r="H258" i="1"/>
  <c r="H613" i="1"/>
  <c r="H695" i="1"/>
  <c r="H893" i="1"/>
  <c r="H998" i="1"/>
  <c r="H716" i="1"/>
  <c r="H508" i="1"/>
  <c r="H476" i="1"/>
  <c r="H509" i="1"/>
  <c r="H177" i="1"/>
  <c r="H524" i="1"/>
  <c r="H101" i="1"/>
  <c r="H780" i="1"/>
  <c r="H940" i="1"/>
  <c r="H996" i="1"/>
  <c r="H671" i="1"/>
  <c r="H994" i="1"/>
  <c r="H102" i="1"/>
  <c r="H515" i="1"/>
  <c r="H957" i="1"/>
  <c r="H66" i="1"/>
  <c r="H360" i="1"/>
  <c r="H740" i="1"/>
  <c r="H948" i="1"/>
  <c r="H532" i="1"/>
  <c r="H335" i="1"/>
  <c r="H401" i="1"/>
  <c r="H59" i="1"/>
  <c r="H316" i="1"/>
  <c r="H685" i="1"/>
  <c r="H923" i="1"/>
  <c r="H470" i="1"/>
  <c r="H433" i="1"/>
  <c r="H500" i="1"/>
  <c r="H985" i="1"/>
  <c r="H32" i="1"/>
  <c r="H456" i="1"/>
  <c r="H531" i="1"/>
  <c r="H300" i="1"/>
  <c r="H529" i="1"/>
  <c r="H64" i="1"/>
  <c r="H120" i="1"/>
  <c r="H374" i="1"/>
  <c r="H375" i="1"/>
  <c r="H110" i="1"/>
  <c r="H311" i="1"/>
  <c r="H691" i="1"/>
  <c r="H826" i="1"/>
  <c r="H220" i="1"/>
  <c r="H570" i="1"/>
  <c r="H19" i="1"/>
  <c r="H142" i="1"/>
  <c r="H256" i="1"/>
  <c r="H567" i="1"/>
  <c r="H803" i="1"/>
  <c r="H668" i="1"/>
  <c r="H263" i="1"/>
  <c r="H808" i="1"/>
  <c r="H711" i="1"/>
  <c r="H435" i="1"/>
  <c r="H337" i="1"/>
  <c r="H493" i="1"/>
  <c r="H666" i="1"/>
  <c r="H18" i="1"/>
  <c r="H227" i="1"/>
  <c r="H676" i="1"/>
  <c r="H848" i="1"/>
  <c r="H903" i="1"/>
  <c r="H141" i="1"/>
  <c r="H841" i="1"/>
  <c r="H307" i="1"/>
  <c r="H33" i="1"/>
  <c r="H438" i="1"/>
  <c r="H80" i="1"/>
  <c r="H82" i="1"/>
  <c r="H881" i="1"/>
  <c r="H763" i="1"/>
  <c r="H715" i="1"/>
  <c r="H565" i="1"/>
  <c r="H75" i="1"/>
  <c r="H188" i="1"/>
  <c r="H699" i="1"/>
  <c r="H107" i="1"/>
  <c r="H406" i="1"/>
  <c r="H899" i="1"/>
  <c r="H927" i="1"/>
  <c r="H854" i="1"/>
  <c r="H583" i="1"/>
  <c r="H437" i="1"/>
  <c r="H93" i="1"/>
  <c r="H442" i="1"/>
  <c r="H950" i="1"/>
  <c r="H1004" i="1"/>
  <c r="H171" i="1"/>
  <c r="H150" i="1"/>
  <c r="H963" i="1"/>
  <c r="H353" i="1"/>
  <c r="H310" i="1"/>
  <c r="H795" i="1"/>
  <c r="H870" i="1"/>
  <c r="H679" i="1"/>
  <c r="H862" i="1"/>
  <c r="H137" i="1"/>
  <c r="H593" i="1"/>
  <c r="H483" i="1"/>
  <c r="H87" i="1"/>
  <c r="H342" i="1"/>
  <c r="H859" i="1"/>
  <c r="H922" i="1"/>
  <c r="H126" i="1"/>
  <c r="H973" i="1"/>
  <c r="H389" i="1"/>
  <c r="H23" i="1"/>
  <c r="H304" i="1"/>
  <c r="H642" i="1"/>
  <c r="H970" i="1"/>
  <c r="H861" i="1"/>
  <c r="H908" i="1"/>
  <c r="H961" i="1"/>
  <c r="H776" i="1"/>
  <c r="H558" i="1"/>
  <c r="H70" i="1"/>
  <c r="H774" i="1"/>
  <c r="H584" i="1"/>
  <c r="H164" i="1"/>
  <c r="H697" i="1"/>
  <c r="H181" i="1"/>
  <c r="H349" i="1"/>
  <c r="H971" i="1"/>
  <c r="H451" i="1"/>
  <c r="H988" i="1"/>
  <c r="H426" i="1"/>
  <c r="H48" i="1"/>
  <c r="H793" i="1"/>
  <c r="H875" i="1"/>
  <c r="H754" i="1"/>
  <c r="H852" i="1"/>
  <c r="H553" i="1"/>
  <c r="H462" i="1"/>
  <c r="H805" i="1"/>
  <c r="H681" i="1"/>
  <c r="H95" i="1"/>
  <c r="H394" i="1"/>
  <c r="H891" i="1"/>
  <c r="H596" i="1"/>
  <c r="H480" i="1"/>
  <c r="H672" i="1"/>
  <c r="H989" i="1"/>
  <c r="H768" i="1"/>
  <c r="H302" i="1"/>
  <c r="H156" i="1"/>
  <c r="H624" i="1"/>
  <c r="H421" i="1"/>
  <c r="H334" i="1"/>
  <c r="H222" i="1"/>
  <c r="H211" i="1"/>
  <c r="H422" i="1"/>
  <c r="H1001" i="1"/>
  <c r="H777" i="1"/>
  <c r="H163" i="1"/>
  <c r="H542" i="1"/>
  <c r="H132" i="1"/>
  <c r="H764" i="1"/>
  <c r="H678" i="1"/>
  <c r="H615" i="1"/>
  <c r="H208" i="1"/>
  <c r="H199" i="1"/>
  <c r="H580" i="1"/>
  <c r="H41" i="1"/>
  <c r="H331" i="1"/>
  <c r="H733" i="1"/>
  <c r="H783" i="1"/>
  <c r="H904" i="1"/>
  <c r="H495" i="1"/>
  <c r="H517" i="1"/>
  <c r="H361" i="1"/>
  <c r="H547" i="1"/>
  <c r="H81" i="1"/>
  <c r="H452" i="1"/>
  <c r="H984" i="1"/>
  <c r="H247" i="1"/>
  <c r="H896" i="1"/>
  <c r="H599" i="1"/>
  <c r="H73" i="1"/>
  <c r="H980" i="1"/>
  <c r="H179" i="1"/>
  <c r="H966" i="1"/>
  <c r="H176" i="1"/>
  <c r="H369" i="1"/>
  <c r="H684" i="1"/>
  <c r="H968" i="1"/>
  <c r="H30" i="1"/>
  <c r="H640" i="1"/>
  <c r="H436" i="1"/>
  <c r="H343" i="1"/>
  <c r="H403" i="1"/>
  <c r="H702" i="1"/>
  <c r="H721" i="1"/>
  <c r="H979" i="1"/>
  <c r="H851" i="1"/>
  <c r="H651" i="1"/>
  <c r="H241" i="1"/>
  <c r="H687" i="1"/>
  <c r="H54" i="1"/>
  <c r="H380" i="1"/>
  <c r="H68" i="1"/>
  <c r="H131" i="1"/>
  <c r="H619" i="1"/>
  <c r="H811" i="1"/>
  <c r="H286" i="1"/>
  <c r="H147" i="1"/>
  <c r="H254" i="1"/>
  <c r="H213" i="1"/>
  <c r="H37" i="1"/>
  <c r="H931" i="1"/>
  <c r="H959" i="1"/>
  <c r="H127" i="1"/>
  <c r="H417" i="1"/>
  <c r="H735" i="1"/>
  <c r="H573" i="1"/>
  <c r="H915" i="1"/>
  <c r="H277" i="1"/>
  <c r="H15" i="1"/>
  <c r="H154" i="1"/>
  <c r="H453" i="1"/>
  <c r="H784" i="1"/>
  <c r="H466" i="1"/>
  <c r="H972" i="1"/>
  <c r="H825" i="1"/>
  <c r="H472" i="1"/>
  <c r="H140" i="1"/>
  <c r="H14" i="1"/>
  <c r="H153" i="1"/>
  <c r="H502" i="1"/>
  <c r="H84" i="1"/>
  <c r="H760" i="1"/>
  <c r="H1007" i="1"/>
  <c r="H809" i="1"/>
  <c r="H287" i="1"/>
  <c r="H308" i="1"/>
  <c r="H535" i="1"/>
  <c r="H550" i="1"/>
  <c r="H741" i="1"/>
  <c r="H492" i="1"/>
  <c r="H788" i="1"/>
  <c r="H315" i="1"/>
  <c r="H709" i="1"/>
  <c r="H906" i="1"/>
  <c r="H314" i="1"/>
  <c r="H513" i="1"/>
  <c r="H475" i="1"/>
  <c r="H173" i="1"/>
  <c r="H236" i="1"/>
  <c r="H761" i="1"/>
  <c r="H936" i="1"/>
  <c r="H186" i="1"/>
  <c r="H411" i="1"/>
  <c r="H425" i="1"/>
  <c r="H351" i="1"/>
  <c r="H340" i="1"/>
  <c r="H884" i="1"/>
  <c r="H203" i="1"/>
  <c r="H802" i="1"/>
  <c r="H934" i="1"/>
  <c r="H877" i="1"/>
  <c r="H520" i="1"/>
  <c r="H291" i="1"/>
  <c r="H27" i="1"/>
  <c r="H321" i="1"/>
  <c r="H13" i="1"/>
  <c r="H876" i="1"/>
  <c r="H370" i="1"/>
  <c r="H647" i="1"/>
  <c r="H844" i="1"/>
  <c r="H371" i="1"/>
  <c r="H283" i="1"/>
  <c r="H57" i="1"/>
  <c r="H464" i="1"/>
  <c r="H501" i="1"/>
  <c r="H537" i="1"/>
  <c r="H897" i="1"/>
  <c r="H646" i="1"/>
  <c r="H727" i="1"/>
  <c r="H367" i="1"/>
  <c r="H559" i="1"/>
  <c r="H212" i="1"/>
  <c r="H782" i="1"/>
  <c r="H47" i="1"/>
  <c r="H430" i="1"/>
  <c r="H638" i="1"/>
  <c r="H828" i="1"/>
  <c r="H669" i="1"/>
  <c r="H728" i="1"/>
  <c r="H867" i="1"/>
  <c r="H569" i="1"/>
  <c r="H812" i="1"/>
  <c r="H364" i="1"/>
  <c r="H250" i="1"/>
  <c r="H623" i="1"/>
  <c r="H578" i="1"/>
  <c r="H831" i="1"/>
  <c r="H185" i="1"/>
  <c r="H143" i="1"/>
  <c r="H661" i="1"/>
  <c r="H560" i="1"/>
  <c r="H235" i="1"/>
  <c r="H643" i="1"/>
  <c r="H952" i="1"/>
  <c r="H829" i="1"/>
  <c r="H696" i="1"/>
  <c r="H925" i="1"/>
  <c r="H344" i="1"/>
  <c r="H612" i="1"/>
  <c r="H77" i="1"/>
  <c r="H386" i="1"/>
  <c r="H42" i="1"/>
  <c r="H929" i="1"/>
  <c r="H819" i="1"/>
  <c r="H977" i="1"/>
  <c r="H935" i="1"/>
  <c r="H874" i="1"/>
  <c r="H479" i="1"/>
  <c r="H461" i="1"/>
  <c r="H25" i="1"/>
  <c r="H892" i="1"/>
  <c r="H151" i="1"/>
  <c r="H281" i="1"/>
  <c r="H38" i="1"/>
  <c r="H682" i="1"/>
  <c r="H467" i="1"/>
  <c r="H62" i="1"/>
  <c r="H251" i="1"/>
  <c r="H610" i="1"/>
  <c r="H35" i="1"/>
  <c r="H293" i="1"/>
  <c r="H611" i="1"/>
  <c r="H354" i="1"/>
  <c r="H810" i="1"/>
  <c r="H674" i="1"/>
  <c r="H288" i="1"/>
  <c r="H806" i="1"/>
  <c r="H794" i="1"/>
  <c r="H61" i="1"/>
  <c r="H526" i="1"/>
  <c r="H830" i="1"/>
  <c r="H726" i="1"/>
  <c r="H336" i="1"/>
  <c r="H103" i="1"/>
  <c r="H953" i="1"/>
  <c r="H90" i="1"/>
  <c r="H266" i="1"/>
  <c r="H259" i="1"/>
  <c r="H943" i="1"/>
  <c r="H100" i="1"/>
  <c r="H506" i="1"/>
  <c r="H330" i="1"/>
  <c r="H846" i="1"/>
  <c r="H46" i="1"/>
  <c r="H747" i="1"/>
  <c r="H920" i="1"/>
  <c r="H152" i="1"/>
  <c r="H534" i="1"/>
  <c r="H96" i="1"/>
  <c r="H898" i="1"/>
  <c r="H824" i="1"/>
  <c r="H869" i="1"/>
  <c r="H572" i="1"/>
  <c r="H313" i="1"/>
  <c r="H577" i="1"/>
  <c r="H190" i="1"/>
  <c r="H945" i="1"/>
  <c r="H983" i="1"/>
  <c r="H901" i="1"/>
  <c r="H563" i="1"/>
  <c r="H720" i="1"/>
  <c r="H633" i="1"/>
  <c r="H745" i="1"/>
  <c r="H521" i="1"/>
  <c r="H189" i="1"/>
  <c r="H416" i="1"/>
  <c r="H161" i="1"/>
  <c r="H785" i="1"/>
  <c r="H650" i="1"/>
  <c r="H909" i="1"/>
  <c r="H847" i="1"/>
  <c r="H707" i="1"/>
  <c r="H627" i="1"/>
  <c r="H739" i="1"/>
  <c r="H692" i="1"/>
  <c r="H346" i="1"/>
  <c r="H790" i="1"/>
  <c r="H938" i="1"/>
  <c r="H993" i="1"/>
  <c r="H243" i="1"/>
  <c r="H400" i="1"/>
  <c r="H125" i="1"/>
  <c r="H511" i="1"/>
  <c r="H63" i="1"/>
  <c r="H270" i="1"/>
  <c r="H924" i="1"/>
  <c r="H821" i="1"/>
  <c r="H729" i="1"/>
  <c r="H295" i="1"/>
  <c r="H345" i="1"/>
  <c r="H419" i="1"/>
  <c r="H26" i="1"/>
  <c r="H43" i="1"/>
  <c r="H245" i="1"/>
  <c r="H568" i="1"/>
  <c r="H860" i="1"/>
  <c r="H554" i="1"/>
  <c r="H594" i="1"/>
  <c r="H49" i="1"/>
  <c r="H632" i="1"/>
  <c r="H688" i="1"/>
  <c r="H381" i="1"/>
  <c r="H604" i="1"/>
  <c r="H815" i="1"/>
  <c r="H600" i="1"/>
  <c r="H947" i="1"/>
  <c r="H581" i="1"/>
  <c r="H902" i="1"/>
  <c r="H858" i="1"/>
  <c r="H268" i="1"/>
  <c r="H221" i="1"/>
  <c r="E19" i="1"/>
  <c r="H50" i="1"/>
  <c r="H778" i="1"/>
  <c r="H458" i="1"/>
  <c r="H439" i="1"/>
  <c r="H845" i="1"/>
  <c r="H444" i="1"/>
  <c r="D23" i="1" l="1"/>
  <c r="H1009" i="1"/>
  <c r="J763" i="1"/>
  <c r="J439" i="1"/>
  <c r="J43" i="1"/>
  <c r="J315" i="1"/>
  <c r="J388" i="1"/>
  <c r="J188" i="1"/>
  <c r="J14" i="1"/>
  <c r="J379" i="1"/>
  <c r="J678" i="1"/>
  <c r="J120" i="1"/>
  <c r="J91" i="1"/>
  <c r="J259" i="1"/>
  <c r="J221" i="1"/>
  <c r="J79" i="1"/>
  <c r="J138" i="1"/>
  <c r="J665" i="1"/>
  <c r="J752" i="1"/>
  <c r="J755" i="1"/>
  <c r="J33" i="1"/>
  <c r="J181" i="1"/>
  <c r="J116" i="1"/>
  <c r="J409" i="1"/>
  <c r="J10" i="1"/>
  <c r="J42" i="1"/>
  <c r="J588" i="1"/>
  <c r="J161" i="1"/>
  <c r="J384" i="1"/>
  <c r="J304" i="1"/>
  <c r="J70" i="1"/>
  <c r="J217" i="1"/>
  <c r="J893" i="1"/>
  <c r="J445" i="1"/>
  <c r="J980" i="1"/>
  <c r="J49" i="1"/>
  <c r="J676" i="1"/>
  <c r="J832" i="1"/>
  <c r="J434" i="1"/>
  <c r="J481" i="1"/>
  <c r="J244" i="1"/>
  <c r="J132" i="1"/>
  <c r="J256" i="1"/>
  <c r="J20" i="1"/>
  <c r="J484" i="1"/>
  <c r="J747" i="1"/>
  <c r="J449" i="1"/>
  <c r="J330" i="1"/>
  <c r="J732" i="1"/>
  <c r="J902" i="1"/>
  <c r="J416" i="1"/>
  <c r="J761" i="1"/>
  <c r="J455" i="1"/>
  <c r="J649" i="1"/>
  <c r="J180" i="1"/>
  <c r="J18" i="1"/>
  <c r="J534" i="1"/>
  <c r="J322" i="1"/>
  <c r="J793" i="1"/>
  <c r="J716" i="1"/>
  <c r="J237" i="1"/>
  <c r="J511" i="1"/>
  <c r="J382" i="1"/>
  <c r="J233" i="1"/>
  <c r="J680" i="1"/>
  <c r="J171" i="1"/>
  <c r="J736" i="1"/>
  <c r="J547" i="1"/>
  <c r="J39" i="1"/>
  <c r="J47" i="1"/>
  <c r="J137" i="1"/>
  <c r="J412" i="1"/>
  <c r="J298" i="1"/>
  <c r="J62" i="1"/>
  <c r="J535" i="1"/>
  <c r="J143" i="1"/>
  <c r="J83" i="1"/>
  <c r="J368" i="1"/>
  <c r="J986" i="1"/>
  <c r="J395" i="1"/>
  <c r="J942" i="1"/>
  <c r="J177" i="1"/>
  <c r="J447" i="1"/>
  <c r="J536" i="1"/>
  <c r="J71" i="1"/>
  <c r="J939" i="1"/>
  <c r="J328" i="1"/>
  <c r="J93" i="1"/>
  <c r="J570" i="1"/>
  <c r="J983" i="1"/>
  <c r="J413" i="1"/>
  <c r="J906" i="1"/>
  <c r="J347" i="1"/>
  <c r="J112" i="1"/>
  <c r="J32" i="1"/>
  <c r="J700" i="1"/>
  <c r="J606" i="1"/>
  <c r="J151" i="1"/>
  <c r="J86" i="1"/>
  <c r="J372" i="1"/>
  <c r="J938" i="1"/>
  <c r="J870" i="1"/>
  <c r="J500" i="1"/>
  <c r="J16" i="1"/>
  <c r="J422" i="1"/>
  <c r="J873" i="1"/>
  <c r="J937" i="1"/>
  <c r="J872" i="1"/>
  <c r="J559" i="1"/>
  <c r="J78" i="1"/>
  <c r="J402" i="1"/>
  <c r="J386" i="1"/>
  <c r="J66" i="1"/>
  <c r="J52" i="1"/>
  <c r="J458" i="1"/>
  <c r="J981" i="1"/>
  <c r="J55" i="1"/>
  <c r="J21" i="1"/>
  <c r="J576" i="1"/>
  <c r="J235" i="1"/>
  <c r="J197" i="1"/>
  <c r="J592" i="1"/>
  <c r="J702" i="1"/>
  <c r="J343" i="1"/>
  <c r="J106" i="1"/>
  <c r="J506" i="1"/>
  <c r="J910" i="1"/>
  <c r="J433" i="1"/>
  <c r="J708" i="1"/>
  <c r="J331" i="1"/>
  <c r="J657" i="1"/>
  <c r="J758" i="1"/>
  <c r="J480" i="1"/>
  <c r="J637" i="1"/>
  <c r="J768" i="1"/>
  <c r="J421" i="1"/>
  <c r="J25" i="1"/>
  <c r="J297" i="1"/>
  <c r="J519" i="1"/>
  <c r="J730" i="1"/>
  <c r="J452" i="1"/>
  <c r="J387" i="1"/>
  <c r="J925" i="1"/>
  <c r="J933" i="1"/>
  <c r="J474" i="1"/>
  <c r="J85" i="1"/>
  <c r="J941" i="1"/>
  <c r="J126" i="1"/>
  <c r="J540" i="1"/>
  <c r="J22" i="1"/>
  <c r="J714" i="1"/>
  <c r="J123" i="1"/>
  <c r="J334" i="1"/>
  <c r="J553" i="1"/>
  <c r="J45" i="1"/>
  <c r="J268" i="1"/>
  <c r="J365" i="1"/>
  <c r="J883" i="1"/>
  <c r="J141" i="1"/>
  <c r="J545" i="1"/>
  <c r="J482" i="1"/>
  <c r="J469" i="1"/>
  <c r="J418" i="1"/>
  <c r="J213" i="1"/>
  <c r="J770" i="1"/>
  <c r="J478" i="1"/>
  <c r="J697" i="1"/>
  <c r="J583" i="1"/>
  <c r="J76" i="1"/>
  <c r="J84" i="1"/>
  <c r="J38" i="1"/>
  <c r="J453" i="1"/>
  <c r="J462" i="1"/>
  <c r="J345" i="1"/>
  <c r="J95" i="1"/>
  <c r="J483" i="1"/>
  <c r="J326" i="1"/>
  <c r="J321" i="1"/>
  <c r="J392" i="1"/>
  <c r="J682" i="1"/>
  <c r="J121" i="1"/>
  <c r="J107" i="1"/>
  <c r="J990" i="1"/>
  <c r="J502" i="1"/>
  <c r="J260" i="1"/>
  <c r="J539" i="1"/>
  <c r="J587" i="1"/>
  <c r="J88" i="1"/>
  <c r="J715" i="1"/>
  <c r="J222" i="1"/>
  <c r="J115" i="1"/>
  <c r="J174" i="1"/>
  <c r="J105" i="1"/>
  <c r="J602" i="1"/>
  <c r="J296" i="1"/>
  <c r="J603" i="1"/>
  <c r="J701" i="1"/>
  <c r="J125" i="1"/>
  <c r="J463" i="1"/>
  <c r="J114" i="1"/>
  <c r="J438" i="1"/>
  <c r="J48" i="1"/>
  <c r="J420" i="1"/>
  <c r="J243" i="1"/>
  <c r="J89" i="1"/>
  <c r="J348" i="1"/>
  <c r="J932" i="1"/>
  <c r="J104" i="1"/>
  <c r="J441" i="1"/>
  <c r="J979" i="1"/>
  <c r="J1002" i="1"/>
  <c r="J146" i="1"/>
  <c r="J604" i="1"/>
  <c r="J246" i="1"/>
  <c r="J711" i="1"/>
  <c r="J163" i="1"/>
  <c r="J75" i="1"/>
  <c r="J552" i="1"/>
  <c r="J276" i="1"/>
  <c r="J857" i="1"/>
  <c r="J796" i="1"/>
  <c r="J53" i="1"/>
  <c r="J405" i="1"/>
  <c r="J934" i="1"/>
  <c r="J249" i="1"/>
  <c r="J887" i="1"/>
  <c r="J64" i="1"/>
  <c r="J390" i="1"/>
  <c r="J542" i="1"/>
  <c r="J266" i="1"/>
  <c r="J982" i="1"/>
  <c r="J888" i="1"/>
  <c r="J308" i="1"/>
  <c r="J586" i="1"/>
  <c r="J28" i="1"/>
  <c r="J518" i="1"/>
  <c r="J205" i="1"/>
  <c r="J456" i="1"/>
  <c r="J375" i="1"/>
  <c r="J968" i="1"/>
  <c r="J750" i="1"/>
  <c r="J818" i="1"/>
  <c r="J178" i="1"/>
  <c r="J454" i="1"/>
  <c r="J218" i="1"/>
  <c r="J358" i="1"/>
  <c r="J185" i="1"/>
  <c r="J234" i="1"/>
  <c r="J58" i="1"/>
  <c r="J1007" i="1"/>
  <c r="J994" i="1"/>
  <c r="J82" i="1"/>
  <c r="J236" i="1"/>
  <c r="J35" i="1"/>
  <c r="J338" i="1"/>
  <c r="J505" i="1"/>
  <c r="J239" i="1"/>
  <c r="J15" i="1"/>
  <c r="J351" i="1"/>
  <c r="J118" i="1"/>
  <c r="J340" i="1"/>
  <c r="J209" i="1"/>
  <c r="J593" i="1"/>
  <c r="J713" i="1"/>
  <c r="J510" i="1"/>
  <c r="J541" i="1"/>
  <c r="J155" i="1"/>
  <c r="J569" i="1"/>
  <c r="J446" i="1"/>
  <c r="J187" i="1"/>
  <c r="J131" i="1"/>
  <c r="J415" i="1"/>
  <c r="J248" i="1"/>
  <c r="J30" i="1"/>
  <c r="J551" i="1"/>
  <c r="J601" i="1"/>
  <c r="J191" i="1"/>
  <c r="J144" i="1"/>
  <c r="J486" i="1"/>
  <c r="J699" i="1"/>
  <c r="J210" i="1"/>
  <c r="J696" i="1"/>
  <c r="J599" i="1"/>
  <c r="J29" i="1"/>
  <c r="J332" i="1"/>
  <c r="J354" i="1"/>
  <c r="J227" i="1"/>
  <c r="J257" i="1"/>
  <c r="J207" i="1"/>
  <c r="J419" i="1"/>
  <c r="J814" i="1"/>
  <c r="J381" i="1"/>
  <c r="J305" i="1"/>
  <c r="J488" i="1"/>
  <c r="J537" i="1"/>
  <c r="J679" i="1"/>
  <c r="J404" i="1"/>
  <c r="J57" i="1"/>
  <c r="J280" i="1"/>
  <c r="J526" i="1"/>
  <c r="J377" i="1"/>
  <c r="J11" i="1"/>
  <c r="J98" i="1"/>
  <c r="J262" i="1"/>
  <c r="J26" i="1"/>
  <c r="J491" i="1"/>
  <c r="J314" i="1"/>
  <c r="J493" i="1"/>
  <c r="J162" i="1"/>
  <c r="J717" i="1"/>
  <c r="J516" i="1"/>
  <c r="J327" i="1"/>
  <c r="J490" i="1"/>
  <c r="J501" i="1"/>
  <c r="J589" i="1"/>
  <c r="J272" i="1"/>
  <c r="J383" i="1"/>
  <c r="J251" i="1"/>
  <c r="J782" i="1"/>
  <c r="J142" i="1"/>
  <c r="J621" i="1"/>
  <c r="J668" i="1"/>
  <c r="J494" i="1"/>
  <c r="J723" i="1"/>
  <c r="J214" i="1"/>
  <c r="J102" i="1"/>
  <c r="J426" i="1"/>
  <c r="J966" i="1"/>
  <c r="J302" i="1"/>
  <c r="J378" i="1"/>
  <c r="J201" i="1"/>
  <c r="J830" i="1"/>
  <c r="J475" i="1"/>
  <c r="J73" i="1"/>
  <c r="J631" i="1"/>
  <c r="J476" i="1"/>
  <c r="J897" i="1"/>
  <c r="J654" i="1"/>
  <c r="J349" i="1"/>
  <c r="J101" i="1"/>
  <c r="J625" i="1"/>
  <c r="J261" i="1"/>
  <c r="J344" i="1"/>
  <c r="J992" i="1"/>
  <c r="J273" i="1"/>
  <c r="J72" i="1"/>
  <c r="J396" i="1"/>
  <c r="J582" i="1"/>
  <c r="J339" i="1"/>
  <c r="J428" i="1"/>
  <c r="J877" i="1"/>
  <c r="J157" i="1"/>
  <c r="J442" i="1"/>
  <c r="J37" i="1"/>
  <c r="J309" i="1"/>
  <c r="J108" i="1"/>
  <c r="J432" i="1"/>
  <c r="J127" i="1"/>
  <c r="J690" i="1"/>
  <c r="J223" i="1"/>
  <c r="J913" i="1"/>
  <c r="J451" i="1"/>
  <c r="J241" i="1"/>
  <c r="J563" i="1"/>
  <c r="J67" i="1"/>
  <c r="J596" i="1"/>
  <c r="J929" i="1"/>
  <c r="J468" i="1"/>
  <c r="J955" i="1"/>
  <c r="J448" i="1"/>
  <c r="J643" i="1"/>
  <c r="J974" i="1"/>
  <c r="J389" i="1"/>
  <c r="J1003" i="1"/>
  <c r="J247" i="1"/>
  <c r="J460" i="1"/>
  <c r="J167" i="1"/>
  <c r="J357" i="1"/>
  <c r="J40" i="1"/>
  <c r="J530" i="1"/>
  <c r="J277" i="1"/>
  <c r="J776" i="1"/>
  <c r="J92" i="1"/>
  <c r="J600" i="1"/>
  <c r="J512" i="1"/>
  <c r="J914" i="1"/>
  <c r="J229" i="1"/>
  <c r="J212" i="1"/>
  <c r="J65" i="1"/>
  <c r="J403" i="1"/>
  <c r="J996" i="1"/>
  <c r="J279" i="1"/>
  <c r="J310" i="1"/>
  <c r="J202" i="1"/>
  <c r="J103" i="1"/>
  <c r="J912" i="1"/>
  <c r="J522" i="1"/>
  <c r="J353" i="1"/>
  <c r="J973" i="1"/>
  <c r="J753" i="1"/>
  <c r="J660" i="1"/>
  <c r="J581" i="1"/>
  <c r="J969" i="1"/>
  <c r="J497" i="1"/>
  <c r="J771" i="1"/>
  <c r="J764" i="1"/>
  <c r="J995" i="1"/>
  <c r="J745" i="1"/>
  <c r="J681" i="1"/>
  <c r="J198" i="1"/>
  <c r="J36" i="1"/>
  <c r="J557" i="1"/>
  <c r="J361" i="1"/>
  <c r="J240" i="1"/>
  <c r="J350" i="1"/>
  <c r="J145" i="1"/>
  <c r="J80" i="1"/>
  <c r="J366" i="1"/>
  <c r="J385" i="1"/>
  <c r="J928" i="1"/>
  <c r="J907" i="1"/>
  <c r="J41" i="1"/>
  <c r="J359" i="1"/>
  <c r="J694" i="1"/>
  <c r="J443" i="1"/>
  <c r="J908" i="1"/>
  <c r="J50" i="1"/>
  <c r="J523" i="1"/>
  <c r="J109" i="1"/>
  <c r="J168" i="1"/>
  <c r="J565" i="1"/>
  <c r="J376" i="1"/>
  <c r="J543" i="1"/>
  <c r="J591" i="1"/>
  <c r="J398" i="1"/>
  <c r="J99" i="1"/>
  <c r="J87" i="1"/>
  <c r="J564" i="1"/>
  <c r="J695" i="1"/>
  <c r="J204" i="1"/>
  <c r="J492" i="1"/>
  <c r="J154" i="1"/>
  <c r="J464" i="1"/>
  <c r="J993" i="1"/>
  <c r="J193" i="1"/>
  <c r="J435" i="1"/>
  <c r="J590" i="1"/>
  <c r="J74" i="1"/>
  <c r="J360" i="1"/>
  <c r="J930" i="1"/>
  <c r="J242" i="1"/>
  <c r="J924" i="1"/>
  <c r="J208" i="1"/>
  <c r="J498" i="1"/>
  <c r="J636" i="1"/>
  <c r="J813" i="1"/>
  <c r="J356" i="1"/>
  <c r="J489" i="1"/>
  <c r="J461" i="1"/>
  <c r="J408" i="1"/>
  <c r="J734" i="1"/>
  <c r="J284" i="1"/>
  <c r="J287" i="1"/>
  <c r="J527" i="1"/>
  <c r="J656" i="1"/>
  <c r="J470" i="1"/>
  <c r="J172" i="1"/>
  <c r="J677" i="1"/>
  <c r="J128" i="1"/>
  <c r="J252" i="1"/>
  <c r="J275" i="1"/>
  <c r="J754" i="1"/>
  <c r="J574" i="1"/>
  <c r="J60" i="1"/>
  <c r="J371" i="1"/>
  <c r="J68" i="1"/>
  <c r="J612" i="1"/>
  <c r="J651" i="1"/>
  <c r="J580" i="1"/>
  <c r="J148" i="1"/>
  <c r="J485" i="1"/>
  <c r="J362" i="1"/>
  <c r="J880" i="1"/>
  <c r="J51" i="1"/>
  <c r="J274" i="1"/>
  <c r="J718" i="1"/>
  <c r="J427" i="1"/>
  <c r="J165" i="1"/>
  <c r="J704" i="1"/>
  <c r="J579" i="1"/>
  <c r="J944" i="1"/>
  <c r="J254" i="1"/>
  <c r="J619" i="1"/>
  <c r="J267" i="1"/>
  <c r="J642" i="1"/>
  <c r="J811" i="1"/>
  <c r="J712" i="1"/>
  <c r="J467" i="1"/>
  <c r="J719" i="1"/>
  <c r="J472" i="1"/>
  <c r="J855" i="1"/>
  <c r="J849" i="1"/>
  <c r="J471" i="1"/>
  <c r="J517" i="1"/>
  <c r="J283" i="1"/>
  <c r="J807" i="1"/>
  <c r="J97" i="1"/>
  <c r="J216" i="1"/>
  <c r="J54" i="1"/>
  <c r="J575" i="1"/>
  <c r="J182" i="1"/>
  <c r="J829" i="1"/>
  <c r="J117" i="1"/>
  <c r="J852" i="1"/>
  <c r="J431" i="1"/>
  <c r="J728" i="1"/>
  <c r="J947" i="1"/>
  <c r="J920" i="1"/>
  <c r="J250" i="1"/>
  <c r="J687" i="1"/>
  <c r="J264" i="1"/>
  <c r="J281" i="1"/>
  <c r="J301" i="1"/>
  <c r="J769" i="1"/>
  <c r="J110" i="1"/>
  <c r="J991" i="1"/>
  <c r="J903" i="1"/>
  <c r="J499" i="1"/>
  <c r="J147" i="1"/>
  <c r="J263" i="1"/>
  <c r="J838" i="1"/>
  <c r="J585" i="1"/>
  <c r="J150" i="1"/>
  <c r="J341" i="1"/>
  <c r="J868" i="1"/>
  <c r="J9" i="1"/>
  <c r="J886" i="1"/>
  <c r="J729" i="1"/>
  <c r="J373" i="1"/>
  <c r="J135" i="1"/>
  <c r="J34" i="1"/>
  <c r="J524" i="1"/>
  <c r="J931" i="1"/>
  <c r="J169" i="1"/>
  <c r="J406" i="1"/>
  <c r="J705" i="1"/>
  <c r="J624" i="1"/>
  <c r="J833" i="1"/>
  <c r="J335" i="1"/>
  <c r="J862" i="1"/>
  <c r="J866" i="1"/>
  <c r="J393" i="1"/>
  <c r="J916" i="1"/>
  <c r="J703" i="1"/>
  <c r="J577" i="1"/>
  <c r="J738" i="1"/>
  <c r="J816" i="1"/>
  <c r="J958" i="1"/>
  <c r="J800" i="1"/>
  <c r="J232" i="1"/>
  <c r="J292" i="1"/>
  <c r="J850" i="1"/>
  <c r="J96" i="1"/>
  <c r="J533" i="1"/>
  <c r="J720" i="1"/>
  <c r="J192" i="1"/>
  <c r="J457" i="1"/>
  <c r="J61" i="1"/>
  <c r="J333" i="1"/>
  <c r="J560" i="1"/>
  <c r="J614" i="1"/>
  <c r="J835" i="1"/>
  <c r="J374" i="1"/>
  <c r="J975" i="1"/>
  <c r="J175" i="1"/>
  <c r="J673" i="1"/>
  <c r="J950" i="1"/>
  <c r="J780" i="1"/>
  <c r="J429" i="1"/>
  <c r="J967" i="1"/>
  <c r="J514" i="1"/>
  <c r="J689" i="1"/>
  <c r="J741" i="1"/>
  <c r="J971" i="1"/>
  <c r="J935" i="1"/>
  <c r="J556" i="1"/>
  <c r="J632" i="1"/>
  <c r="J839" i="1"/>
  <c r="J56" i="1"/>
  <c r="J615" i="1"/>
  <c r="J253" i="1"/>
  <c r="J156" i="1"/>
  <c r="J566" i="1"/>
  <c r="J739" i="1"/>
  <c r="J595" i="1"/>
  <c r="J391" i="1"/>
  <c r="J129" i="1"/>
  <c r="J650" i="1"/>
  <c r="J802" i="1"/>
  <c r="J269" i="1"/>
  <c r="J24" i="1"/>
  <c r="J998" i="1"/>
  <c r="J851" i="1"/>
  <c r="J369" i="1"/>
  <c r="J594" i="1"/>
  <c r="J278" i="1"/>
  <c r="J911" i="1"/>
  <c r="J683" i="1"/>
  <c r="J410" i="1"/>
  <c r="J166" i="1"/>
  <c r="J504" i="1"/>
  <c r="J948" i="1"/>
  <c r="J394" i="1"/>
  <c r="J607" i="1"/>
  <c r="J724" i="1"/>
  <c r="J737" i="1"/>
  <c r="J31" i="1"/>
  <c r="J159" i="1"/>
  <c r="J790" i="1"/>
  <c r="J294" i="1"/>
  <c r="J778" i="1"/>
  <c r="J459" i="1"/>
  <c r="J644" i="1"/>
  <c r="J63" i="1"/>
  <c r="J725" i="1"/>
  <c r="J496" i="1"/>
  <c r="J529" i="1"/>
  <c r="J194" i="1"/>
  <c r="J799" i="1"/>
  <c r="J578" i="1"/>
  <c r="J666" i="1"/>
  <c r="J199" i="1"/>
  <c r="J111" i="1"/>
  <c r="J605" i="1"/>
  <c r="J312" i="1"/>
  <c r="J397" i="1"/>
  <c r="J882" i="1"/>
  <c r="J220" i="1"/>
  <c r="J841" i="1"/>
  <c r="J423" i="1"/>
  <c r="J960" i="1"/>
  <c r="J655" i="1"/>
  <c r="J195" i="1"/>
  <c r="J864" i="1"/>
  <c r="J904" i="1"/>
  <c r="J265" i="1"/>
  <c r="J630" i="1"/>
  <c r="J230" i="1"/>
  <c r="J817" i="1"/>
  <c r="J598" i="1"/>
  <c r="J710" i="1"/>
  <c r="J44" i="1"/>
  <c r="J844" i="1"/>
  <c r="J318" i="1"/>
  <c r="J840" i="1"/>
  <c r="J731" i="1"/>
  <c r="J133" i="1"/>
  <c r="J363" i="1"/>
  <c r="J735" i="1"/>
  <c r="J531" i="1"/>
  <c r="J890" i="1"/>
  <c r="J380" i="1"/>
  <c r="J834" i="1"/>
  <c r="J136" i="1"/>
  <c r="J12" i="1"/>
  <c r="J528" i="1"/>
  <c r="J597" i="1"/>
  <c r="J173" i="1"/>
  <c r="J176" i="1"/>
  <c r="J407" i="1"/>
  <c r="J317" i="1"/>
  <c r="J917" i="1"/>
  <c r="J1004" i="1"/>
  <c r="J342" i="1"/>
  <c r="J757" i="1"/>
  <c r="J346" i="1"/>
  <c r="J400" i="1"/>
  <c r="J549" i="1"/>
  <c r="J495" i="1"/>
  <c r="J225" i="1"/>
  <c r="J170" i="1"/>
  <c r="J744" i="1"/>
  <c r="J826" i="1"/>
  <c r="J59" i="1"/>
  <c r="J525" i="1"/>
  <c r="J674" i="1"/>
  <c r="J508" i="1"/>
  <c r="J874" i="1"/>
  <c r="J440" i="1"/>
  <c r="J94" i="1"/>
  <c r="J316" i="1"/>
  <c r="J567" i="1"/>
  <c r="J959" i="1"/>
  <c r="J812" i="1"/>
  <c r="J325" i="1"/>
  <c r="J224" i="1"/>
  <c r="J896" i="1"/>
  <c r="J909" i="1"/>
  <c r="J189" i="1"/>
  <c r="J773" i="1"/>
  <c r="J638" i="1"/>
  <c r="J436" i="1"/>
  <c r="J515" i="1"/>
  <c r="J255" i="1"/>
  <c r="J831" i="1"/>
  <c r="J620" i="1"/>
  <c r="J765" i="1"/>
  <c r="J206" i="1"/>
  <c r="J479" i="1"/>
  <c r="J573" i="1"/>
  <c r="J626" i="1"/>
  <c r="J158" i="1"/>
  <c r="J367" i="1"/>
  <c r="J130" i="1"/>
  <c r="J200" i="1"/>
  <c r="J288" i="1"/>
  <c r="J323" i="1"/>
  <c r="J645" i="1"/>
  <c r="J370" i="1"/>
  <c r="J19" i="1"/>
  <c r="J291" i="1"/>
  <c r="J90" i="1"/>
  <c r="J414" i="1"/>
  <c r="J100" i="1"/>
  <c r="J648" i="1"/>
  <c r="J572" i="1"/>
  <c r="J258" i="1"/>
  <c r="J211" i="1"/>
  <c r="J124" i="1"/>
  <c r="J164" i="1"/>
  <c r="J160" i="1"/>
  <c r="J295" i="1"/>
  <c r="J152" i="1"/>
  <c r="J466" i="1"/>
  <c r="J685" i="1"/>
  <c r="J810" i="1"/>
  <c r="J709" i="1"/>
  <c r="J465" i="1"/>
  <c r="J450" i="1"/>
  <c r="J13" i="1"/>
  <c r="J411" i="1"/>
  <c r="J282" i="1"/>
  <c r="J801" i="1"/>
  <c r="J509" i="1"/>
  <c r="J203" i="1"/>
  <c r="J698" i="1"/>
  <c r="J77" i="1"/>
  <c r="J571" i="1"/>
  <c r="J313" i="1"/>
  <c r="J999" i="1"/>
  <c r="J795" i="1"/>
  <c r="J662" i="1"/>
  <c r="J153" i="1"/>
  <c r="J311" i="1"/>
  <c r="J139" i="1"/>
  <c r="J430" i="1"/>
  <c r="J876" i="1"/>
  <c r="J196" i="1"/>
  <c r="J781" i="1"/>
  <c r="J785" i="1"/>
  <c r="J853" i="1"/>
  <c r="J300" i="1"/>
  <c r="J477" i="1"/>
  <c r="J352" i="1"/>
  <c r="J285" i="1"/>
  <c r="J558" i="1"/>
  <c r="J134" i="1"/>
  <c r="J875" i="1"/>
  <c r="J487" i="1"/>
  <c r="J788" i="1"/>
  <c r="J319" i="1"/>
  <c r="J824" i="1"/>
  <c r="J113" i="1"/>
  <c r="J140" i="1"/>
  <c r="J364" i="1"/>
  <c r="J961" i="1"/>
  <c r="J538" i="1"/>
  <c r="J219" i="1"/>
  <c r="J871" i="1"/>
  <c r="J693" i="1"/>
  <c r="J618" i="1"/>
  <c r="J69" i="1"/>
  <c r="J546" i="1"/>
  <c r="J122" i="1"/>
  <c r="J186" i="1"/>
  <c r="J399" i="1"/>
  <c r="J922" i="1"/>
  <c r="J324" i="1"/>
  <c r="J774" i="1"/>
  <c r="J940" i="1"/>
  <c r="J355" i="1"/>
  <c r="J985" i="1"/>
  <c r="J401" i="1"/>
  <c r="J550" i="1"/>
  <c r="J923" i="1"/>
  <c r="J226" i="1"/>
  <c r="J1005" i="1"/>
  <c r="J17" i="1"/>
  <c r="J190" i="1"/>
  <c r="J895" i="1"/>
  <c r="J901" i="1"/>
  <c r="J987" i="1"/>
  <c r="J228" i="1"/>
  <c r="J561" i="1"/>
  <c r="J964" i="1"/>
  <c r="J622" i="1"/>
  <c r="J692" i="1"/>
  <c r="J949" i="1"/>
  <c r="J884" i="1"/>
  <c r="J653" i="1"/>
  <c r="J786" i="1"/>
  <c r="J919" i="1"/>
  <c r="J809" i="1"/>
  <c r="J756" i="1"/>
  <c r="J320" i="1"/>
  <c r="J820" i="1"/>
  <c r="J740" i="1"/>
  <c r="J521" i="1"/>
  <c r="J805" i="1"/>
  <c r="J613" i="1"/>
  <c r="J667" i="1"/>
  <c r="J179" i="1"/>
  <c r="J609" i="1"/>
  <c r="J988" i="1"/>
  <c r="J303" i="1"/>
  <c r="J639" i="1"/>
  <c r="J641" i="1"/>
  <c r="J616" i="1"/>
  <c r="J646" i="1"/>
  <c r="J837" i="1"/>
  <c r="J783" i="1"/>
  <c r="J23" i="1"/>
  <c r="J762" i="1"/>
  <c r="J918" i="1"/>
  <c r="J215" i="1"/>
  <c r="J787" i="1"/>
  <c r="J629" i="1"/>
  <c r="J881" i="1"/>
  <c r="J307" i="1"/>
  <c r="J797" i="1"/>
  <c r="J892" i="1"/>
  <c r="J978" i="1"/>
  <c r="J792" i="1"/>
  <c r="J879" i="1"/>
  <c r="J707" i="1"/>
  <c r="J568" i="1"/>
  <c r="J437" i="1"/>
  <c r="J775" i="1"/>
  <c r="J688" i="1"/>
  <c r="J417" i="1"/>
  <c r="J954" i="1"/>
  <c r="J329" i="1"/>
  <c r="J856" i="1"/>
  <c r="J290" i="1"/>
  <c r="J915" i="1"/>
  <c r="J658" i="1"/>
  <c r="J997" i="1"/>
  <c r="J842" i="1"/>
  <c r="J878" i="1"/>
  <c r="J825" i="1"/>
  <c r="J627" i="1"/>
  <c r="J748" i="1"/>
  <c r="J936" i="1"/>
  <c r="J634" i="1"/>
  <c r="J984" i="1"/>
  <c r="J894" i="1"/>
  <c r="J27" i="1"/>
  <c r="J562" i="1"/>
  <c r="J766" i="1"/>
  <c r="J760" i="1"/>
  <c r="J819" i="1"/>
  <c r="J706" i="1"/>
  <c r="J149" i="1"/>
  <c r="J548" i="1"/>
  <c r="J238" i="1"/>
  <c r="J183" i="1"/>
  <c r="J899" i="1"/>
  <c r="J584" i="1"/>
  <c r="J827" i="1"/>
  <c r="J861" i="1"/>
  <c r="J798" i="1"/>
  <c r="J905" i="1"/>
  <c r="J951" i="1"/>
  <c r="J640" i="1"/>
  <c r="J675" i="1"/>
  <c r="J293" i="1"/>
  <c r="J823" i="1"/>
  <c r="J733" i="1"/>
  <c r="J759" i="1"/>
  <c r="J647" i="1"/>
  <c r="J989" i="1"/>
  <c r="J847" i="1"/>
  <c r="J889" i="1"/>
  <c r="J749" i="1"/>
  <c r="J845" i="1"/>
  <c r="J684" i="1"/>
  <c r="J286" i="1"/>
  <c r="J943" i="1"/>
  <c r="J970" i="1"/>
  <c r="J867" i="1"/>
  <c r="J808" i="1"/>
  <c r="J848" i="1"/>
  <c r="J507" i="1"/>
  <c r="J513" i="1"/>
  <c r="J46" i="1"/>
  <c r="J424" i="1"/>
  <c r="J119" i="1"/>
  <c r="J336" i="1"/>
  <c r="J962" i="1"/>
  <c r="J672" i="1"/>
  <c r="J1006" i="1"/>
  <c r="J633" i="1"/>
  <c r="J532" i="1"/>
  <c r="J555" i="1"/>
  <c r="J791" i="1"/>
  <c r="J891" i="1"/>
  <c r="J669" i="1"/>
  <c r="J554" i="1"/>
  <c r="J661" i="1"/>
  <c r="J860" i="1"/>
  <c r="J663" i="1"/>
  <c r="J921" i="1"/>
  <c r="J245" i="1"/>
  <c r="J691" i="1"/>
  <c r="J976" i="1"/>
  <c r="J952" i="1"/>
  <c r="J828" i="1"/>
  <c r="J503" i="1"/>
  <c r="J81" i="1"/>
  <c r="J231" i="1"/>
  <c r="J742" i="1"/>
  <c r="J270" i="1"/>
  <c r="J671" i="1"/>
  <c r="J289" i="1"/>
  <c r="J863" i="1"/>
  <c r="J184" i="1"/>
  <c r="J794" i="1"/>
  <c r="J608" i="1"/>
  <c r="J965" i="1"/>
  <c r="J957" i="1"/>
  <c r="J299" i="1"/>
  <c r="J945" i="1"/>
  <c r="J686" i="1"/>
  <c r="J789" i="1"/>
  <c r="J721" i="1"/>
  <c r="J751" i="1"/>
  <c r="J746" i="1"/>
  <c r="J520" i="1"/>
  <c r="J635" i="1"/>
  <c r="J898" i="1"/>
  <c r="J956" i="1"/>
  <c r="J306" i="1"/>
  <c r="J859" i="1"/>
  <c r="J803" i="1"/>
  <c r="J743" i="1"/>
  <c r="J652" i="1"/>
  <c r="J926" i="1"/>
  <c r="J772" i="1"/>
  <c r="J271" i="1"/>
  <c r="J444" i="1"/>
  <c r="J821" i="1"/>
  <c r="J836" i="1"/>
  <c r="J784" i="1"/>
  <c r="J822" i="1"/>
  <c r="J977" i="1"/>
  <c r="J869" i="1"/>
  <c r="J544" i="1"/>
  <c r="J611" i="1"/>
  <c r="J846" i="1"/>
  <c r="J425" i="1"/>
  <c r="J972" i="1"/>
  <c r="J670" i="1"/>
  <c r="J806" i="1"/>
  <c r="J473" i="1"/>
  <c r="J777" i="1"/>
  <c r="J963" i="1"/>
  <c r="J337" i="1"/>
  <c r="J610" i="1"/>
  <c r="J927" i="1"/>
  <c r="J664" i="1"/>
  <c r="J843" i="1"/>
  <c r="J946" i="1"/>
  <c r="J617" i="1"/>
  <c r="J1000" i="1"/>
  <c r="J815" i="1"/>
  <c r="J767" i="1"/>
  <c r="J623" i="1"/>
  <c r="J1001" i="1"/>
  <c r="J722" i="1"/>
  <c r="J858" i="1"/>
  <c r="J885" i="1"/>
  <c r="J865" i="1"/>
  <c r="J779" i="1"/>
  <c r="J953" i="1"/>
  <c r="J804" i="1"/>
  <c r="J854" i="1"/>
  <c r="J726" i="1"/>
  <c r="J1008" i="1"/>
  <c r="J900" i="1"/>
  <c r="J628" i="1"/>
  <c r="J659" i="1"/>
  <c r="J8" i="1"/>
  <c r="J727" i="1"/>
  <c r="H1010" i="1" l="1"/>
  <c r="J1009" i="1"/>
  <c r="H1011" i="1" l="1"/>
  <c r="J1010" i="1"/>
  <c r="H1012" i="1" l="1"/>
  <c r="J1011" i="1"/>
  <c r="H1013" i="1" l="1"/>
  <c r="J1012" i="1"/>
  <c r="H1014" i="1" l="1"/>
  <c r="J1013" i="1"/>
  <c r="H1015" i="1" l="1"/>
  <c r="J1014" i="1"/>
  <c r="H1016" i="1" l="1"/>
  <c r="J1015" i="1"/>
  <c r="H1017" i="1" l="1"/>
  <c r="J1016" i="1"/>
  <c r="H1018" i="1" l="1"/>
  <c r="J1017" i="1"/>
  <c r="H1019" i="1" l="1"/>
  <c r="J1018" i="1"/>
  <c r="H1020" i="1" l="1"/>
  <c r="J1019" i="1"/>
  <c r="H1021" i="1" l="1"/>
  <c r="J1020" i="1"/>
  <c r="H1022" i="1" l="1"/>
  <c r="J1021" i="1"/>
  <c r="H1023" i="1" l="1"/>
  <c r="J1022" i="1"/>
  <c r="H1024" i="1" l="1"/>
  <c r="J1023" i="1"/>
  <c r="H1025" i="1" l="1"/>
  <c r="J1024" i="1"/>
  <c r="H1026" i="1" l="1"/>
  <c r="J1025" i="1"/>
  <c r="H1027" i="1" l="1"/>
  <c r="J1026" i="1"/>
  <c r="H1028" i="1" l="1"/>
  <c r="J1027" i="1"/>
  <c r="H1029" i="1" l="1"/>
  <c r="J1028" i="1"/>
  <c r="H1030" i="1" l="1"/>
  <c r="J1029" i="1"/>
  <c r="H1031" i="1" l="1"/>
  <c r="J1030" i="1"/>
  <c r="H1032" i="1" l="1"/>
  <c r="J1031" i="1"/>
  <c r="H1033" i="1" l="1"/>
  <c r="J1032" i="1"/>
  <c r="H1034" i="1" l="1"/>
  <c r="J1033" i="1"/>
  <c r="H1035" i="1" l="1"/>
  <c r="J1034" i="1"/>
  <c r="H1036" i="1" l="1"/>
  <c r="J1035" i="1"/>
  <c r="H1037" i="1" l="1"/>
  <c r="J1036" i="1"/>
  <c r="H1038" i="1" l="1"/>
  <c r="J1037" i="1"/>
  <c r="H1039" i="1" l="1"/>
  <c r="J1038" i="1"/>
  <c r="H1040" i="1" l="1"/>
  <c r="J1039" i="1"/>
  <c r="H1041" i="1" l="1"/>
  <c r="J1040" i="1"/>
  <c r="H1042" i="1" l="1"/>
  <c r="J1041" i="1"/>
  <c r="H1043" i="1" l="1"/>
  <c r="J1042" i="1"/>
  <c r="H1044" i="1" l="1"/>
  <c r="J1043" i="1"/>
  <c r="H1045" i="1" l="1"/>
  <c r="J1044" i="1"/>
  <c r="H1046" i="1" l="1"/>
  <c r="J1045" i="1"/>
  <c r="H1047" i="1" l="1"/>
  <c r="J1046" i="1"/>
  <c r="H1048" i="1" l="1"/>
  <c r="J1047" i="1"/>
  <c r="H1049" i="1" l="1"/>
  <c r="J1048" i="1"/>
  <c r="H1050" i="1" l="1"/>
  <c r="J1049" i="1"/>
  <c r="H1051" i="1" l="1"/>
  <c r="J1050" i="1"/>
  <c r="H1052" i="1" l="1"/>
  <c r="J1051" i="1"/>
  <c r="H1053" i="1" l="1"/>
  <c r="J1052" i="1"/>
  <c r="H1054" i="1" l="1"/>
  <c r="J1053" i="1"/>
  <c r="H1055" i="1" l="1"/>
  <c r="J1054" i="1"/>
  <c r="H1056" i="1" l="1"/>
  <c r="J1055" i="1"/>
  <c r="H1057" i="1" l="1"/>
  <c r="J1056" i="1"/>
  <c r="H1058" i="1" l="1"/>
  <c r="J1057" i="1"/>
  <c r="H1059" i="1" l="1"/>
  <c r="J1058" i="1"/>
  <c r="H1060" i="1" l="1"/>
  <c r="J1059" i="1"/>
  <c r="H1061" i="1" l="1"/>
  <c r="J1060" i="1"/>
  <c r="H1062" i="1" l="1"/>
  <c r="J1061" i="1"/>
  <c r="H1063" i="1" l="1"/>
  <c r="J1062" i="1"/>
  <c r="H1064" i="1" l="1"/>
  <c r="J1063" i="1"/>
  <c r="H1065" i="1" l="1"/>
  <c r="J1064" i="1"/>
  <c r="H1066" i="1" l="1"/>
  <c r="J1065" i="1"/>
  <c r="H1067" i="1" l="1"/>
  <c r="J1066" i="1"/>
  <c r="H1068" i="1" l="1"/>
  <c r="J1067" i="1"/>
  <c r="H1069" i="1" l="1"/>
  <c r="J1068" i="1"/>
  <c r="H1070" i="1" l="1"/>
  <c r="J1069" i="1"/>
  <c r="H1071" i="1" l="1"/>
  <c r="J1070" i="1"/>
  <c r="H1072" i="1" l="1"/>
  <c r="J1071" i="1"/>
  <c r="H1073" i="1" l="1"/>
  <c r="J1072" i="1"/>
  <c r="H1074" i="1" l="1"/>
  <c r="J1073" i="1"/>
  <c r="H1075" i="1" l="1"/>
  <c r="J1074" i="1"/>
  <c r="H1076" i="1" l="1"/>
  <c r="J1075" i="1"/>
  <c r="H1077" i="1" l="1"/>
  <c r="J1076" i="1"/>
  <c r="H1078" i="1" l="1"/>
  <c r="J1077" i="1"/>
  <c r="H1079" i="1" l="1"/>
  <c r="J1078" i="1"/>
  <c r="H1080" i="1" l="1"/>
  <c r="J1079" i="1"/>
  <c r="H1081" i="1" l="1"/>
  <c r="J1080" i="1"/>
  <c r="H1082" i="1" l="1"/>
  <c r="J1081" i="1"/>
  <c r="H1083" i="1" l="1"/>
  <c r="J1082" i="1"/>
  <c r="H1084" i="1" l="1"/>
  <c r="J1083" i="1"/>
  <c r="H1085" i="1" l="1"/>
  <c r="J1084" i="1"/>
  <c r="H1086" i="1" l="1"/>
  <c r="J1085" i="1"/>
  <c r="H1087" i="1" l="1"/>
  <c r="J1086" i="1"/>
  <c r="H1088" i="1" l="1"/>
  <c r="J1087" i="1"/>
  <c r="H1089" i="1" l="1"/>
  <c r="J1088" i="1"/>
  <c r="H1090" i="1" l="1"/>
  <c r="J1089" i="1"/>
  <c r="H1091" i="1" l="1"/>
  <c r="J1090" i="1"/>
  <c r="H1092" i="1" l="1"/>
  <c r="J1091" i="1"/>
  <c r="H1093" i="1" l="1"/>
  <c r="J1092" i="1"/>
  <c r="H1094" i="1" l="1"/>
  <c r="J1093" i="1"/>
  <c r="H1095" i="1" l="1"/>
  <c r="J1094" i="1"/>
  <c r="H1096" i="1" l="1"/>
  <c r="J1095" i="1"/>
  <c r="H1097" i="1" l="1"/>
  <c r="J1096" i="1"/>
  <c r="H1098" i="1" l="1"/>
  <c r="J1097" i="1"/>
  <c r="H1099" i="1" l="1"/>
  <c r="J1098" i="1"/>
  <c r="H1100" i="1" l="1"/>
  <c r="J1099" i="1"/>
  <c r="H1101" i="1" l="1"/>
  <c r="J1100" i="1"/>
  <c r="H1102" i="1" l="1"/>
  <c r="J1101" i="1"/>
  <c r="H1103" i="1" l="1"/>
  <c r="J1102" i="1"/>
  <c r="H1104" i="1" l="1"/>
  <c r="J1103" i="1"/>
  <c r="H1105" i="1" l="1"/>
  <c r="J1104" i="1"/>
  <c r="H1106" i="1" l="1"/>
  <c r="J1105" i="1"/>
  <c r="H1107" i="1" l="1"/>
  <c r="J1106" i="1"/>
  <c r="H1108" i="1" l="1"/>
  <c r="J1107" i="1"/>
  <c r="H1109" i="1" l="1"/>
  <c r="J1108" i="1"/>
  <c r="H1110" i="1" l="1"/>
  <c r="J1109" i="1"/>
  <c r="H1111" i="1" l="1"/>
  <c r="J1110" i="1"/>
  <c r="H1112" i="1" l="1"/>
  <c r="J1111" i="1"/>
  <c r="H1113" i="1" l="1"/>
  <c r="J1112" i="1"/>
  <c r="H1114" i="1" l="1"/>
  <c r="J1113" i="1"/>
  <c r="H1115" i="1" l="1"/>
  <c r="J1114" i="1"/>
  <c r="H1116" i="1" l="1"/>
  <c r="J1115" i="1"/>
  <c r="H1117" i="1" l="1"/>
  <c r="J1116" i="1"/>
  <c r="H1118" i="1" l="1"/>
  <c r="J1117" i="1"/>
  <c r="H1119" i="1" l="1"/>
  <c r="J1118" i="1"/>
  <c r="H1120" i="1" l="1"/>
  <c r="J1119" i="1"/>
  <c r="H1121" i="1" l="1"/>
  <c r="J1120" i="1"/>
  <c r="H1122" i="1" l="1"/>
  <c r="J1121" i="1"/>
  <c r="H1123" i="1" l="1"/>
  <c r="J1122" i="1"/>
  <c r="H1124" i="1" l="1"/>
  <c r="J1123" i="1"/>
  <c r="H1125" i="1" l="1"/>
  <c r="J1124" i="1"/>
  <c r="Z9" i="1" l="1"/>
  <c r="Z10" i="1"/>
  <c r="Z8" i="1"/>
  <c r="Z50" i="1"/>
  <c r="Z32" i="1"/>
  <c r="Z53" i="1"/>
  <c r="Z21" i="1"/>
  <c r="Z33" i="1"/>
  <c r="Z44" i="1"/>
  <c r="Z35" i="1"/>
  <c r="Z12" i="1"/>
  <c r="Z42" i="1"/>
  <c r="Z37" i="1"/>
  <c r="Z13" i="1"/>
  <c r="Z39" i="1"/>
  <c r="Z24" i="1"/>
  <c r="Z30" i="1"/>
  <c r="Z28" i="1"/>
  <c r="Z20" i="1"/>
  <c r="Z23" i="1"/>
  <c r="Z41" i="1"/>
  <c r="Z47" i="1"/>
  <c r="Z46" i="1"/>
  <c r="Z36" i="1"/>
  <c r="Z14" i="1"/>
  <c r="Z43" i="1"/>
  <c r="Z16" i="1"/>
  <c r="Z18" i="1"/>
  <c r="Z45" i="1"/>
  <c r="Z48" i="1"/>
  <c r="Z34" i="1"/>
  <c r="Z27" i="1"/>
  <c r="Z38" i="1"/>
  <c r="Z19" i="1"/>
  <c r="Z17" i="1"/>
  <c r="Z49" i="1"/>
  <c r="Z59" i="1"/>
  <c r="Z57" i="1"/>
  <c r="Z51" i="1"/>
  <c r="Z22" i="1"/>
  <c r="Z40" i="1"/>
  <c r="Z25" i="1"/>
  <c r="Z11" i="1"/>
  <c r="Z29" i="1"/>
  <c r="Z58" i="1"/>
  <c r="Z15" i="1"/>
  <c r="Z54" i="1"/>
  <c r="Z26" i="1"/>
  <c r="Z60" i="1"/>
  <c r="Z55" i="1"/>
  <c r="Z56" i="1"/>
  <c r="Z31" i="1"/>
  <c r="Z52" i="1"/>
  <c r="Z70" i="1"/>
  <c r="Z79" i="1"/>
  <c r="Z65" i="1"/>
  <c r="Z91" i="1"/>
  <c r="Z78" i="1"/>
  <c r="Z62" i="1"/>
  <c r="Z90" i="1"/>
  <c r="Z61" i="1"/>
  <c r="Z74" i="1"/>
  <c r="Z89" i="1"/>
  <c r="Z71" i="1"/>
  <c r="Z82" i="1"/>
  <c r="Z75" i="1"/>
  <c r="Z76" i="1"/>
  <c r="Z69" i="1"/>
  <c r="Z81" i="1"/>
  <c r="Z77" i="1"/>
  <c r="Z80" i="1"/>
  <c r="Z72" i="1"/>
  <c r="Z67" i="1"/>
  <c r="Z86" i="1"/>
  <c r="Z63" i="1"/>
  <c r="Z64" i="1"/>
  <c r="Z68" i="1"/>
  <c r="Z93" i="1"/>
  <c r="Z85" i="1"/>
  <c r="Z66" i="1"/>
  <c r="Z84" i="1"/>
  <c r="Z83" i="1"/>
  <c r="Z73" i="1"/>
  <c r="Z88" i="1"/>
  <c r="Z87" i="1"/>
  <c r="Z92" i="1"/>
  <c r="Z95" i="1"/>
  <c r="Z94" i="1"/>
  <c r="Z102" i="1"/>
  <c r="Z99" i="1"/>
  <c r="Z100" i="1"/>
  <c r="Z105" i="1"/>
  <c r="Z96" i="1"/>
  <c r="Z107" i="1"/>
  <c r="Z98" i="1"/>
  <c r="Z106" i="1"/>
  <c r="Z108" i="1"/>
  <c r="Z103" i="1"/>
  <c r="Z97" i="1"/>
  <c r="Z101" i="1"/>
  <c r="Z104" i="1"/>
  <c r="J1125" i="1"/>
  <c r="Y97" i="1" l="1" a="1"/>
  <c r="Y97" i="1" s="1"/>
  <c r="AC97" i="1" s="1"/>
  <c r="Y100" i="1" a="1"/>
  <c r="Y100" i="1" s="1"/>
  <c r="AC100" i="1" s="1"/>
  <c r="Y88" i="1" a="1"/>
  <c r="Y88" i="1" s="1"/>
  <c r="AC88" i="1" s="1"/>
  <c r="Y64" i="1" a="1"/>
  <c r="Y64" i="1" s="1"/>
  <c r="AC64" i="1" s="1"/>
  <c r="Y69" i="1" a="1"/>
  <c r="Y69" i="1" s="1"/>
  <c r="AC69" i="1" s="1"/>
  <c r="Y90" i="1" a="1"/>
  <c r="Y90" i="1" s="1"/>
  <c r="AC90" i="1" s="1"/>
  <c r="Y54" i="1" a="1"/>
  <c r="Y54" i="1" s="1"/>
  <c r="AC54" i="1" s="1"/>
  <c r="Y51" i="1" a="1"/>
  <c r="Y51" i="1" s="1"/>
  <c r="AC51" i="1" s="1"/>
  <c r="Y34" i="1" a="1"/>
  <c r="Y34" i="1" s="1"/>
  <c r="AC34" i="1" s="1"/>
  <c r="Y46" i="1" a="1"/>
  <c r="Y46" i="1" s="1"/>
  <c r="AC46" i="1" s="1"/>
  <c r="Y39" i="1" a="1"/>
  <c r="Y39" i="1" s="1"/>
  <c r="AC39" i="1" s="1"/>
  <c r="Y21" i="1" a="1"/>
  <c r="Y21" i="1" s="1"/>
  <c r="AC21" i="1" s="1"/>
  <c r="Y103" i="1" a="1"/>
  <c r="Y103" i="1" s="1"/>
  <c r="AC103" i="1" s="1"/>
  <c r="Y99" i="1" a="1"/>
  <c r="Y99" i="1" s="1"/>
  <c r="AC99" i="1" s="1"/>
  <c r="Y73" i="1" a="1"/>
  <c r="Y73" i="1" s="1"/>
  <c r="AC73" i="1" s="1"/>
  <c r="Y63" i="1" a="1"/>
  <c r="Y63" i="1" s="1"/>
  <c r="AC63" i="1" s="1"/>
  <c r="Y76" i="1" a="1"/>
  <c r="Y76" i="1" s="1"/>
  <c r="AC76" i="1" s="1"/>
  <c r="Y62" i="1" a="1"/>
  <c r="Y62" i="1" s="1"/>
  <c r="AC62" i="1" s="1"/>
  <c r="Y15" i="1" a="1"/>
  <c r="Y15" i="1" s="1"/>
  <c r="AC15" i="1" s="1"/>
  <c r="Y57" i="1" a="1"/>
  <c r="Y57" i="1" s="1"/>
  <c r="AC57" i="1" s="1"/>
  <c r="Y48" i="1" a="1"/>
  <c r="Y48" i="1" s="1"/>
  <c r="AC48" i="1" s="1"/>
  <c r="Y47" i="1" a="1"/>
  <c r="Y47" i="1" s="1"/>
  <c r="AC47" i="1" s="1"/>
  <c r="Y13" i="1" a="1"/>
  <c r="Y13" i="1" s="1"/>
  <c r="AC13" i="1" s="1"/>
  <c r="Y53" i="1" a="1"/>
  <c r="Y53" i="1" s="1"/>
  <c r="AC53" i="1" s="1"/>
  <c r="Y108" i="1" a="1"/>
  <c r="Y108" i="1" s="1"/>
  <c r="AC108" i="1" s="1"/>
  <c r="Y83" i="1" a="1"/>
  <c r="Y83" i="1" s="1"/>
  <c r="AC83" i="1" s="1"/>
  <c r="Y86" i="1" a="1"/>
  <c r="Y86" i="1" s="1"/>
  <c r="AC86" i="1" s="1"/>
  <c r="Y75" i="1" a="1"/>
  <c r="Y75" i="1" s="1"/>
  <c r="AC75" i="1" s="1"/>
  <c r="Y78" i="1" a="1"/>
  <c r="Y78" i="1" s="1"/>
  <c r="AC78" i="1" s="1"/>
  <c r="Y52" i="1" a="1"/>
  <c r="Y52" i="1" s="1"/>
  <c r="AC52" i="1" s="1"/>
  <c r="Y58" i="1" a="1"/>
  <c r="Y58" i="1" s="1"/>
  <c r="AC58" i="1" s="1"/>
  <c r="Y59" i="1" a="1"/>
  <c r="Y59" i="1" s="1"/>
  <c r="AC59" i="1" s="1"/>
  <c r="Y45" i="1" a="1"/>
  <c r="Y45" i="1" s="1"/>
  <c r="AC45" i="1" s="1"/>
  <c r="Y41" i="1" a="1"/>
  <c r="Y41" i="1" s="1"/>
  <c r="AC41" i="1" s="1"/>
  <c r="Y37" i="1" a="1"/>
  <c r="Y37" i="1" s="1"/>
  <c r="AC37" i="1" s="1"/>
  <c r="Y32" i="1" a="1"/>
  <c r="Y32" i="1" s="1"/>
  <c r="AC32" i="1" s="1"/>
  <c r="Y106" i="1" a="1"/>
  <c r="Y106" i="1" s="1"/>
  <c r="AC106" i="1" s="1"/>
  <c r="Y84" i="1" a="1"/>
  <c r="Y84" i="1" s="1"/>
  <c r="AC84" i="1" s="1"/>
  <c r="Y67" i="1" a="1"/>
  <c r="Y67" i="1" s="1"/>
  <c r="AC67" i="1" s="1"/>
  <c r="Y82" i="1" a="1"/>
  <c r="Y82" i="1" s="1"/>
  <c r="AC82" i="1" s="1"/>
  <c r="Y91" i="1" a="1"/>
  <c r="Y91" i="1" s="1"/>
  <c r="AC91" i="1" s="1"/>
  <c r="Y31" i="1" a="1"/>
  <c r="Y31" i="1" s="1"/>
  <c r="AC31" i="1" s="1"/>
  <c r="Y29" i="1" a="1"/>
  <c r="Y29" i="1" s="1"/>
  <c r="AC29" i="1" s="1"/>
  <c r="Y49" i="1" a="1"/>
  <c r="Y49" i="1" s="1"/>
  <c r="AC49" i="1" s="1"/>
  <c r="Y18" i="1" a="1"/>
  <c r="Y18" i="1" s="1"/>
  <c r="AC18" i="1" s="1"/>
  <c r="Y23" i="1" a="1"/>
  <c r="Y23" i="1" s="1"/>
  <c r="AC23" i="1" s="1"/>
  <c r="Y42" i="1" a="1"/>
  <c r="Y42" i="1" s="1"/>
  <c r="AC42" i="1" s="1"/>
  <c r="Y50" i="1" a="1"/>
  <c r="Y50" i="1" s="1"/>
  <c r="AC50" i="1" s="1"/>
  <c r="Y98" i="1" a="1"/>
  <c r="Y98" i="1" s="1"/>
  <c r="AC98" i="1" s="1"/>
  <c r="Y94" i="1" a="1"/>
  <c r="Y94" i="1" s="1"/>
  <c r="AC94" i="1" s="1"/>
  <c r="Y66" i="1" a="1"/>
  <c r="Y66" i="1" s="1"/>
  <c r="AC66" i="1" s="1"/>
  <c r="Y72" i="1" a="1"/>
  <c r="Y72" i="1" s="1"/>
  <c r="AC72" i="1" s="1"/>
  <c r="Y71" i="1" a="1"/>
  <c r="Y71" i="1" s="1"/>
  <c r="AC71" i="1" s="1"/>
  <c r="Y65" i="1" a="1"/>
  <c r="Y65" i="1" s="1"/>
  <c r="AC65" i="1" s="1"/>
  <c r="Y56" i="1" a="1"/>
  <c r="Y56" i="1" s="1"/>
  <c r="AC56" i="1" s="1"/>
  <c r="Y11" i="1" a="1"/>
  <c r="Y11" i="1" s="1"/>
  <c r="AC11" i="1" s="1"/>
  <c r="Y17" i="1" a="1"/>
  <c r="Y17" i="1" s="1"/>
  <c r="AC17" i="1" s="1"/>
  <c r="Y16" i="1" a="1"/>
  <c r="Y16" i="1" s="1"/>
  <c r="AC16" i="1" s="1"/>
  <c r="Y20" i="1" a="1"/>
  <c r="Y20" i="1" s="1"/>
  <c r="AC20" i="1" s="1"/>
  <c r="Y12" i="1" a="1"/>
  <c r="Y12" i="1" s="1"/>
  <c r="AC12" i="1" s="1"/>
  <c r="Y107" i="1" a="1"/>
  <c r="Y107" i="1" s="1"/>
  <c r="AC107" i="1" s="1"/>
  <c r="Y95" i="1" a="1"/>
  <c r="Y95" i="1" s="1"/>
  <c r="AC95" i="1" s="1"/>
  <c r="Y85" i="1" a="1"/>
  <c r="Y85" i="1" s="1"/>
  <c r="AC85" i="1" s="1"/>
  <c r="Y80" i="1" a="1"/>
  <c r="Y80" i="1" s="1"/>
  <c r="AC80" i="1" s="1"/>
  <c r="Y89" i="1" a="1"/>
  <c r="Y89" i="1" s="1"/>
  <c r="AC89" i="1" s="1"/>
  <c r="Y79" i="1" a="1"/>
  <c r="Y79" i="1" s="1"/>
  <c r="AC79" i="1" s="1"/>
  <c r="Y55" i="1" a="1"/>
  <c r="Y55" i="1" s="1"/>
  <c r="AC55" i="1" s="1"/>
  <c r="Y25" i="1" a="1"/>
  <c r="Y25" i="1" s="1"/>
  <c r="AC25" i="1" s="1"/>
  <c r="Y19" i="1" a="1"/>
  <c r="Y19" i="1" s="1"/>
  <c r="AC19" i="1" s="1"/>
  <c r="Y43" i="1" a="1"/>
  <c r="Y43" i="1" s="1"/>
  <c r="AC43" i="1" s="1"/>
  <c r="Y28" i="1" a="1"/>
  <c r="Y28" i="1" s="1"/>
  <c r="AC28" i="1" s="1"/>
  <c r="Y35" i="1" a="1"/>
  <c r="Y35" i="1" s="1"/>
  <c r="AC35" i="1" s="1"/>
  <c r="Y8" i="1" a="1"/>
  <c r="Y8" i="1" s="1"/>
  <c r="AC8" i="1" s="1"/>
  <c r="Y10" i="1" a="1"/>
  <c r="Y10" i="1" s="1"/>
  <c r="AC10" i="1" s="1"/>
  <c r="Y104" i="1" a="1"/>
  <c r="Y104" i="1" s="1"/>
  <c r="AC104" i="1" s="1"/>
  <c r="Y96" i="1" a="1"/>
  <c r="Y96" i="1" s="1"/>
  <c r="AC96" i="1" s="1"/>
  <c r="Y102" i="1" a="1"/>
  <c r="Y102" i="1" s="1"/>
  <c r="AC102" i="1" s="1"/>
  <c r="Y92" i="1" a="1"/>
  <c r="Y92" i="1" s="1"/>
  <c r="AC92" i="1" s="1"/>
  <c r="Y93" i="1" a="1"/>
  <c r="Y93" i="1" s="1"/>
  <c r="AC93" i="1" s="1"/>
  <c r="Y77" i="1" a="1"/>
  <c r="Y77" i="1" s="1"/>
  <c r="AC77" i="1" s="1"/>
  <c r="Y74" i="1" a="1"/>
  <c r="Y74" i="1" s="1"/>
  <c r="AC74" i="1" s="1"/>
  <c r="Y70" i="1" a="1"/>
  <c r="Y70" i="1" s="1"/>
  <c r="AC70" i="1" s="1"/>
  <c r="Y60" i="1" a="1"/>
  <c r="Y60" i="1" s="1"/>
  <c r="AC60" i="1" s="1"/>
  <c r="Y40" i="1" a="1"/>
  <c r="Y40" i="1" s="1"/>
  <c r="AC40" i="1" s="1"/>
  <c r="Y38" i="1" a="1"/>
  <c r="Y38" i="1" s="1"/>
  <c r="AC38" i="1" s="1"/>
  <c r="Y14" i="1" a="1"/>
  <c r="Y14" i="1" s="1"/>
  <c r="AC14" i="1" s="1"/>
  <c r="Y30" i="1" a="1"/>
  <c r="Y30" i="1" s="1"/>
  <c r="AC30" i="1" s="1"/>
  <c r="Y44" i="1" a="1"/>
  <c r="Y44" i="1" s="1"/>
  <c r="AC44" i="1" s="1"/>
  <c r="Y9" i="1" a="1"/>
  <c r="Y9" i="1" s="1"/>
  <c r="AC9" i="1" s="1"/>
  <c r="Y101" i="1" a="1"/>
  <c r="Y101" i="1" s="1"/>
  <c r="AC101" i="1" s="1"/>
  <c r="Y105" i="1" a="1"/>
  <c r="Y105" i="1" s="1"/>
  <c r="AC105" i="1" s="1"/>
  <c r="Y87" i="1" a="1"/>
  <c r="Y87" i="1" s="1"/>
  <c r="AC87" i="1" s="1"/>
  <c r="Y68" i="1" a="1"/>
  <c r="Y68" i="1" s="1"/>
  <c r="AC68" i="1" s="1"/>
  <c r="Y81" i="1" a="1"/>
  <c r="Y81" i="1" s="1"/>
  <c r="AC81" i="1" s="1"/>
  <c r="Y61" i="1" a="1"/>
  <c r="Y61" i="1" s="1"/>
  <c r="AC61" i="1" s="1"/>
  <c r="Y26" i="1" a="1"/>
  <c r="Y26" i="1" s="1"/>
  <c r="AC26" i="1" s="1"/>
  <c r="Y22" i="1" a="1"/>
  <c r="Y22" i="1" s="1"/>
  <c r="AC22" i="1" s="1"/>
  <c r="Y27" i="1" a="1"/>
  <c r="Y27" i="1" s="1"/>
  <c r="AC27" i="1" s="1"/>
  <c r="Y36" i="1" a="1"/>
  <c r="Y36" i="1" s="1"/>
  <c r="AC36" i="1" s="1"/>
  <c r="Y24" i="1" a="1"/>
  <c r="Y24" i="1" s="1"/>
  <c r="AC24" i="1" s="1"/>
  <c r="Y33" i="1" a="1"/>
  <c r="Y33" i="1" s="1"/>
  <c r="AC33" i="1" s="1"/>
  <c r="BH8" i="1" l="1"/>
  <c r="BG8" i="1"/>
  <c r="AD22" i="1"/>
  <c r="AD26" i="1"/>
  <c r="AD35" i="1"/>
  <c r="AD24" i="1"/>
  <c r="AD36" i="1"/>
  <c r="AD38" i="1"/>
  <c r="AD19" i="1"/>
  <c r="AD16" i="1"/>
  <c r="AD30" i="1"/>
  <c r="AD14" i="1"/>
  <c r="AD20" i="1"/>
  <c r="AD12" i="1"/>
  <c r="AD33" i="1"/>
  <c r="AD31" i="1"/>
  <c r="AD27" i="1"/>
  <c r="AD29" i="1"/>
  <c r="AD13" i="1"/>
  <c r="AD17" i="1"/>
  <c r="AD32" i="1"/>
  <c r="AD28" i="1"/>
  <c r="AD11" i="1"/>
  <c r="AD37" i="1"/>
  <c r="AD15" i="1"/>
  <c r="AD25" i="1"/>
  <c r="AD21" i="1"/>
  <c r="AD23" i="1"/>
  <c r="AD9" i="1"/>
  <c r="AD10" i="1"/>
  <c r="AD18" i="1"/>
  <c r="AD34" i="1"/>
  <c r="AG10" i="1" l="1"/>
  <c r="AE10" i="1" s="1"/>
  <c r="AF10" i="1" s="1"/>
  <c r="AM10" i="1" s="1"/>
  <c r="AG22" i="1"/>
  <c r="AE22" i="1" s="1"/>
  <c r="AF22" i="1" s="1"/>
  <c r="AM22" i="1" s="1"/>
  <c r="AG34" i="1"/>
  <c r="AG26" i="1"/>
  <c r="AE26" i="1" s="1"/>
  <c r="AF26" i="1" s="1"/>
  <c r="AM26" i="1" s="1"/>
  <c r="AG39" i="1"/>
  <c r="AE39" i="1" s="1"/>
  <c r="AG29" i="1"/>
  <c r="AE29" i="1" s="1"/>
  <c r="AG30" i="1"/>
  <c r="AE30" i="1" s="1"/>
  <c r="AF30" i="1" s="1"/>
  <c r="AM30" i="1" s="1"/>
  <c r="AG11" i="1"/>
  <c r="AE11" i="1" s="1"/>
  <c r="AF11" i="1" s="1"/>
  <c r="AM11" i="1" s="1"/>
  <c r="AG23" i="1"/>
  <c r="AE23" i="1" s="1"/>
  <c r="AF23" i="1" s="1"/>
  <c r="AM23" i="1" s="1"/>
  <c r="AG35" i="1"/>
  <c r="AG37" i="1"/>
  <c r="AE37" i="1" s="1"/>
  <c r="AG16" i="1"/>
  <c r="AE16" i="1" s="1"/>
  <c r="AG18" i="1"/>
  <c r="AE18" i="1" s="1"/>
  <c r="AF18" i="1" s="1"/>
  <c r="AM18" i="1" s="1"/>
  <c r="AG32" i="1"/>
  <c r="AG12" i="1"/>
  <c r="AG24" i="1"/>
  <c r="AE24" i="1" s="1"/>
  <c r="AG36" i="1"/>
  <c r="AE36" i="1" s="1"/>
  <c r="AG25" i="1"/>
  <c r="AE25" i="1" s="1"/>
  <c r="AG38" i="1"/>
  <c r="AG19" i="1"/>
  <c r="AG13" i="1"/>
  <c r="AE13" i="1" s="1"/>
  <c r="AG20" i="1"/>
  <c r="AE20" i="1" s="1"/>
  <c r="AG14" i="1"/>
  <c r="AE14" i="1" s="1"/>
  <c r="AF14" i="1" s="1"/>
  <c r="AM14" i="1" s="1"/>
  <c r="AG15" i="1"/>
  <c r="AE15" i="1" s="1"/>
  <c r="AG27" i="1"/>
  <c r="AE27" i="1" s="1"/>
  <c r="AF27" i="1" s="1"/>
  <c r="AM27" i="1" s="1"/>
  <c r="AG28" i="1"/>
  <c r="AG21" i="1"/>
  <c r="AG17" i="1"/>
  <c r="AG31" i="1"/>
  <c r="AE31" i="1" s="1"/>
  <c r="AG33" i="1"/>
  <c r="AE33" i="1" s="1"/>
  <c r="AH38" i="1"/>
  <c r="AI38" i="1" s="1"/>
  <c r="AH28" i="1"/>
  <c r="AI28" i="1" s="1"/>
  <c r="AH13" i="1"/>
  <c r="AI13" i="1" s="1"/>
  <c r="AH21" i="1"/>
  <c r="AI21" i="1" s="1"/>
  <c r="AH11" i="1"/>
  <c r="AI11" i="1" s="1"/>
  <c r="AH34" i="1"/>
  <c r="AI34" i="1" s="1"/>
  <c r="AH30" i="1"/>
  <c r="AI30" i="1" s="1"/>
  <c r="AH15" i="1"/>
  <c r="AI15" i="1" s="1"/>
  <c r="AH16" i="1"/>
  <c r="AI16" i="1" s="1"/>
  <c r="AH32" i="1"/>
  <c r="AI32" i="1" s="1"/>
  <c r="AH27" i="1"/>
  <c r="AI27" i="1" s="1"/>
  <c r="AH36" i="1"/>
  <c r="AI36" i="1" s="1"/>
  <c r="AH24" i="1"/>
  <c r="AI24" i="1" s="1"/>
  <c r="AH23" i="1"/>
  <c r="AI23" i="1" s="1"/>
  <c r="AH19" i="1"/>
  <c r="AI19" i="1" s="1"/>
  <c r="AH10" i="1"/>
  <c r="AI10" i="1" s="1"/>
  <c r="AH26" i="1"/>
  <c r="AI26" i="1" s="1"/>
  <c r="AH35" i="1"/>
  <c r="AI35" i="1" s="1"/>
  <c r="AH33" i="1"/>
  <c r="AI33" i="1" s="1"/>
  <c r="AH22" i="1"/>
  <c r="AI22" i="1" s="1"/>
  <c r="AH17" i="1"/>
  <c r="AI17" i="1" s="1"/>
  <c r="AH29" i="1"/>
  <c r="AI29" i="1" s="1"/>
  <c r="AH25" i="1"/>
  <c r="AI25" i="1" s="1"/>
  <c r="AH12" i="1"/>
  <c r="AI12" i="1" s="1"/>
  <c r="AH31" i="1"/>
  <c r="AI31" i="1" s="1"/>
  <c r="AH20" i="1"/>
  <c r="AI20" i="1" s="1"/>
  <c r="AH18" i="1"/>
  <c r="AI18" i="1" s="1"/>
  <c r="AH37" i="1"/>
  <c r="AI37" i="1" s="1"/>
  <c r="AH14" i="1"/>
  <c r="AI14" i="1" s="1"/>
  <c r="AD47" i="1"/>
  <c r="AD43" i="1"/>
  <c r="AD64" i="1"/>
  <c r="AD48" i="1"/>
  <c r="AD65" i="1"/>
  <c r="AD55" i="1"/>
  <c r="AD54" i="1"/>
  <c r="AD50" i="1"/>
  <c r="AD53" i="1"/>
  <c r="AD51" i="1"/>
  <c r="AD44" i="1"/>
  <c r="AD59" i="1"/>
  <c r="AD61" i="1"/>
  <c r="AD63" i="1"/>
  <c r="AD67" i="1"/>
  <c r="AD41" i="1"/>
  <c r="AD60" i="1"/>
  <c r="AD40" i="1"/>
  <c r="AD56" i="1"/>
  <c r="AD52" i="1"/>
  <c r="AD42" i="1"/>
  <c r="AD45" i="1"/>
  <c r="AD58" i="1"/>
  <c r="AD46" i="1"/>
  <c r="AD68" i="1"/>
  <c r="AD66" i="1"/>
  <c r="AD57" i="1"/>
  <c r="AD62" i="1"/>
  <c r="AD49" i="1"/>
  <c r="AD39" i="1"/>
  <c r="AF9" i="1"/>
  <c r="AM9" i="1" s="1"/>
  <c r="BJ8" i="1" l="1"/>
  <c r="AE35" i="1"/>
  <c r="AF35" i="1" s="1"/>
  <c r="AM35" i="1" s="1"/>
  <c r="AE19" i="1"/>
  <c r="AF19" i="1" s="1"/>
  <c r="AE38" i="1"/>
  <c r="AF38" i="1" s="1"/>
  <c r="AM38" i="1" s="1"/>
  <c r="AE17" i="1"/>
  <c r="AF17" i="1" s="1"/>
  <c r="AE21" i="1"/>
  <c r="AF21" i="1" s="1"/>
  <c r="AE12" i="1"/>
  <c r="AF12" i="1" s="1"/>
  <c r="AE34" i="1"/>
  <c r="AF34" i="1" s="1"/>
  <c r="AM34" i="1" s="1"/>
  <c r="AE28" i="1"/>
  <c r="AF28" i="1" s="1"/>
  <c r="AE32" i="1"/>
  <c r="AF32" i="1" s="1"/>
  <c r="AM32" i="1" s="1"/>
  <c r="AF29" i="1"/>
  <c r="AF25" i="1"/>
  <c r="AM25" i="1" s="1"/>
  <c r="AF31" i="1"/>
  <c r="AM31" i="1" s="1"/>
  <c r="AF36" i="1"/>
  <c r="AM36" i="1" s="1"/>
  <c r="AF24" i="1"/>
  <c r="AF33" i="1"/>
  <c r="AM33" i="1" s="1"/>
  <c r="AF15" i="1"/>
  <c r="AF16" i="1"/>
  <c r="AM16" i="1" s="1"/>
  <c r="AF37" i="1"/>
  <c r="AM37" i="1" s="1"/>
  <c r="AF13" i="1"/>
  <c r="AF20" i="1"/>
  <c r="AM20" i="1" s="1"/>
  <c r="AG67" i="1"/>
  <c r="AG51" i="1"/>
  <c r="AG56" i="1"/>
  <c r="AE56" i="1" s="1"/>
  <c r="AF56" i="1" s="1"/>
  <c r="AM56" i="1" s="1"/>
  <c r="AG43" i="1"/>
  <c r="AE43" i="1" s="1"/>
  <c r="AF43" i="1" s="1"/>
  <c r="AM43" i="1" s="1"/>
  <c r="AG66" i="1"/>
  <c r="AE66" i="1" s="1"/>
  <c r="AG65" i="1"/>
  <c r="AE65" i="1" s="1"/>
  <c r="AF65" i="1" s="1"/>
  <c r="AM65" i="1" s="1"/>
  <c r="AG50" i="1"/>
  <c r="AE50" i="1" s="1"/>
  <c r="AF50" i="1" s="1"/>
  <c r="AM50" i="1" s="1"/>
  <c r="AG57" i="1"/>
  <c r="AE57" i="1" s="1"/>
  <c r="AG40" i="1"/>
  <c r="AE40" i="1" s="1"/>
  <c r="AF40" i="1" s="1"/>
  <c r="AM40" i="1" s="1"/>
  <c r="AG69" i="1"/>
  <c r="AE69" i="1" s="1"/>
  <c r="AG44" i="1"/>
  <c r="AE44" i="1" s="1"/>
  <c r="AG64" i="1"/>
  <c r="AE64" i="1" s="1"/>
  <c r="AG60" i="1"/>
  <c r="AG53" i="1"/>
  <c r="AG68" i="1"/>
  <c r="AE68" i="1" s="1"/>
  <c r="AF68" i="1" s="1"/>
  <c r="AM68" i="1" s="1"/>
  <c r="AG54" i="1"/>
  <c r="AE54" i="1" s="1"/>
  <c r="AF54" i="1" s="1"/>
  <c r="AM54" i="1" s="1"/>
  <c r="AG63" i="1"/>
  <c r="AE63" i="1" s="1"/>
  <c r="AG48" i="1"/>
  <c r="AE48" i="1" s="1"/>
  <c r="AF48" i="1" s="1"/>
  <c r="AM48" i="1" s="1"/>
  <c r="AG55" i="1"/>
  <c r="AE55" i="1" s="1"/>
  <c r="AF55" i="1" s="1"/>
  <c r="AM55" i="1" s="1"/>
  <c r="AG62" i="1"/>
  <c r="AE62" i="1" s="1"/>
  <c r="AG59" i="1"/>
  <c r="AE59" i="1" s="1"/>
  <c r="AG58" i="1"/>
  <c r="AE58" i="1" s="1"/>
  <c r="AG52" i="1"/>
  <c r="AE52" i="1" s="1"/>
  <c r="AG47" i="1"/>
  <c r="AG46" i="1"/>
  <c r="AG42" i="1"/>
  <c r="AG45" i="1"/>
  <c r="AE45" i="1" s="1"/>
  <c r="AF45" i="1" s="1"/>
  <c r="AM45" i="1" s="1"/>
  <c r="AG61" i="1"/>
  <c r="AE61" i="1" s="1"/>
  <c r="AG41" i="1"/>
  <c r="AE41" i="1" s="1"/>
  <c r="AG49" i="1"/>
  <c r="AE49" i="1" s="1"/>
  <c r="AH39" i="1"/>
  <c r="AI39" i="1" s="1"/>
  <c r="AH65" i="1"/>
  <c r="AI65" i="1" s="1"/>
  <c r="AH62" i="1"/>
  <c r="AI62" i="1" s="1"/>
  <c r="AH48" i="1"/>
  <c r="AI48" i="1" s="1"/>
  <c r="AH42" i="1"/>
  <c r="AI42" i="1" s="1"/>
  <c r="AH53" i="1"/>
  <c r="AI53" i="1" s="1"/>
  <c r="AH49" i="1"/>
  <c r="AI49" i="1" s="1"/>
  <c r="AH51" i="1"/>
  <c r="AI51" i="1" s="1"/>
  <c r="AH67" i="1"/>
  <c r="AI67" i="1" s="1"/>
  <c r="AH56" i="1"/>
  <c r="AI56" i="1" s="1"/>
  <c r="AH64" i="1"/>
  <c r="AI64" i="1" s="1"/>
  <c r="AH58" i="1"/>
  <c r="AI58" i="1" s="1"/>
  <c r="AH44" i="1"/>
  <c r="AI44" i="1" s="1"/>
  <c r="AH46" i="1"/>
  <c r="AI46" i="1" s="1"/>
  <c r="AH59" i="1"/>
  <c r="AI59" i="1" s="1"/>
  <c r="AH50" i="1"/>
  <c r="AI50" i="1" s="1"/>
  <c r="AH45" i="1"/>
  <c r="AI45" i="1" s="1"/>
  <c r="AH54" i="1"/>
  <c r="AI54" i="1" s="1"/>
  <c r="AH52" i="1"/>
  <c r="AI52" i="1" s="1"/>
  <c r="AH40" i="1"/>
  <c r="AI40" i="1" s="1"/>
  <c r="AH55" i="1"/>
  <c r="AI55" i="1" s="1"/>
  <c r="AH60" i="1"/>
  <c r="AI60" i="1" s="1"/>
  <c r="AH41" i="1"/>
  <c r="AI41" i="1" s="1"/>
  <c r="AH57" i="1"/>
  <c r="AI57" i="1" s="1"/>
  <c r="AH66" i="1"/>
  <c r="AI66" i="1" s="1"/>
  <c r="AH63" i="1"/>
  <c r="AI63" i="1" s="1"/>
  <c r="AH43" i="1"/>
  <c r="AI43" i="1" s="1"/>
  <c r="AH68" i="1"/>
  <c r="AI68" i="1" s="1"/>
  <c r="AH61" i="1"/>
  <c r="AI61" i="1" s="1"/>
  <c r="AH47" i="1"/>
  <c r="AI47" i="1" s="1"/>
  <c r="AK11" i="1"/>
  <c r="AL11" i="1" s="1"/>
  <c r="AK23" i="1"/>
  <c r="AL23" i="1" s="1"/>
  <c r="AK27" i="1"/>
  <c r="AL27" i="1" s="1"/>
  <c r="AK10" i="1"/>
  <c r="AD70" i="1"/>
  <c r="AD74" i="1"/>
  <c r="AD88" i="1"/>
  <c r="AD78" i="1"/>
  <c r="AD76" i="1"/>
  <c r="AD95" i="1"/>
  <c r="AD81" i="1"/>
  <c r="AD83" i="1"/>
  <c r="AD94" i="1"/>
  <c r="AD85" i="1"/>
  <c r="AD90" i="1"/>
  <c r="AD72" i="1"/>
  <c r="AD69" i="1"/>
  <c r="AG70" i="1" s="1"/>
  <c r="AE70" i="1" s="1"/>
  <c r="AD75" i="1"/>
  <c r="AD87" i="1"/>
  <c r="AD96" i="1"/>
  <c r="AD82" i="1"/>
  <c r="AD80" i="1"/>
  <c r="AD73" i="1"/>
  <c r="AD89" i="1"/>
  <c r="AD92" i="1"/>
  <c r="AD97" i="1"/>
  <c r="AD93" i="1"/>
  <c r="AD79" i="1"/>
  <c r="AD71" i="1"/>
  <c r="AD98" i="1"/>
  <c r="AD86" i="1"/>
  <c r="AD91" i="1"/>
  <c r="AD84" i="1"/>
  <c r="AD77" i="1"/>
  <c r="AF39" i="1"/>
  <c r="AM39" i="1" s="1"/>
  <c r="AK30" i="1" l="1"/>
  <c r="AL30" i="1" s="1"/>
  <c r="AM29" i="1"/>
  <c r="AK28" i="1"/>
  <c r="AL28" i="1" s="1"/>
  <c r="AM28" i="1"/>
  <c r="AK14" i="1"/>
  <c r="AL14" i="1" s="1"/>
  <c r="AM13" i="1"/>
  <c r="AK12" i="1"/>
  <c r="AL12" i="1" s="1"/>
  <c r="AM12" i="1"/>
  <c r="AK22" i="1"/>
  <c r="AL22" i="1" s="1"/>
  <c r="AM21" i="1"/>
  <c r="AK15" i="1"/>
  <c r="AL15" i="1" s="1"/>
  <c r="AM15" i="1"/>
  <c r="AK18" i="1"/>
  <c r="AL18" i="1" s="1"/>
  <c r="AM17" i="1"/>
  <c r="AK24" i="1"/>
  <c r="AL24" i="1" s="1"/>
  <c r="AM24" i="1"/>
  <c r="AK19" i="1"/>
  <c r="AL19" i="1" s="1"/>
  <c r="AM19" i="1"/>
  <c r="AK16" i="1"/>
  <c r="AL16" i="1" s="1"/>
  <c r="AK38" i="1"/>
  <c r="AL38" i="1" s="1"/>
  <c r="AK35" i="1"/>
  <c r="AL35" i="1" s="1"/>
  <c r="AE42" i="1"/>
  <c r="AF42" i="1" s="1"/>
  <c r="AM42" i="1" s="1"/>
  <c r="AE53" i="1"/>
  <c r="AF53" i="1" s="1"/>
  <c r="AE51" i="1"/>
  <c r="AF51" i="1" s="1"/>
  <c r="AE46" i="1"/>
  <c r="AF46" i="1" s="1"/>
  <c r="AE60" i="1"/>
  <c r="AF60" i="1" s="1"/>
  <c r="AM60" i="1" s="1"/>
  <c r="AE67" i="1"/>
  <c r="AF67" i="1" s="1"/>
  <c r="AM67" i="1" s="1"/>
  <c r="AE47" i="1"/>
  <c r="AF47" i="1" s="1"/>
  <c r="AM47" i="1" s="1"/>
  <c r="AK21" i="1"/>
  <c r="AL21" i="1" s="1"/>
  <c r="AK13" i="1"/>
  <c r="AL13" i="1" s="1"/>
  <c r="AK29" i="1"/>
  <c r="AL29" i="1" s="1"/>
  <c r="AK17" i="1"/>
  <c r="AL17" i="1" s="1"/>
  <c r="AF63" i="1"/>
  <c r="AM63" i="1" s="1"/>
  <c r="AK20" i="1"/>
  <c r="AL20" i="1" s="1"/>
  <c r="AF61" i="1"/>
  <c r="AM61" i="1" s="1"/>
  <c r="AK34" i="1"/>
  <c r="AL34" i="1" s="1"/>
  <c r="AK33" i="1"/>
  <c r="AL33" i="1" s="1"/>
  <c r="AK37" i="1"/>
  <c r="AL37" i="1" s="1"/>
  <c r="AK36" i="1"/>
  <c r="AL36" i="1" s="1"/>
  <c r="AK31" i="1"/>
  <c r="AL31" i="1" s="1"/>
  <c r="AK32" i="1"/>
  <c r="AL32" i="1" s="1"/>
  <c r="AK26" i="1"/>
  <c r="AL26" i="1" s="1"/>
  <c r="AK25" i="1"/>
  <c r="AL25" i="1" s="1"/>
  <c r="AF64" i="1"/>
  <c r="AM64" i="1" s="1"/>
  <c r="AF52" i="1"/>
  <c r="AM52" i="1" s="1"/>
  <c r="AF44" i="1"/>
  <c r="AM44" i="1" s="1"/>
  <c r="AF59" i="1"/>
  <c r="AM59" i="1" s="1"/>
  <c r="AF57" i="1"/>
  <c r="AF41" i="1"/>
  <c r="AF58" i="1"/>
  <c r="AM58" i="1" s="1"/>
  <c r="AF62" i="1"/>
  <c r="AM62" i="1" s="1"/>
  <c r="AF49" i="1"/>
  <c r="AF70" i="1"/>
  <c r="AM70" i="1" s="1"/>
  <c r="AF66" i="1"/>
  <c r="AK39" i="1"/>
  <c r="AL39" i="1" s="1"/>
  <c r="AL10" i="1"/>
  <c r="AG78" i="1"/>
  <c r="AE78" i="1" s="1"/>
  <c r="AF78" i="1" s="1"/>
  <c r="AM78" i="1" s="1"/>
  <c r="AG91" i="1"/>
  <c r="AG90" i="1"/>
  <c r="AE90" i="1" s="1"/>
  <c r="AF90" i="1" s="1"/>
  <c r="AM90" i="1" s="1"/>
  <c r="AG99" i="1"/>
  <c r="AE99" i="1" s="1"/>
  <c r="AG84" i="1"/>
  <c r="AE84" i="1" s="1"/>
  <c r="AF84" i="1" s="1"/>
  <c r="AM84" i="1" s="1"/>
  <c r="AG76" i="1"/>
  <c r="AE76" i="1" s="1"/>
  <c r="AG80" i="1"/>
  <c r="AE80" i="1" s="1"/>
  <c r="AG75" i="1"/>
  <c r="AE75" i="1" s="1"/>
  <c r="AG94" i="1"/>
  <c r="AE94" i="1" s="1"/>
  <c r="AF94" i="1" s="1"/>
  <c r="AM94" i="1" s="1"/>
  <c r="AG97" i="1"/>
  <c r="AG79" i="1"/>
  <c r="AE79" i="1" s="1"/>
  <c r="AF79" i="1" s="1"/>
  <c r="AM79" i="1" s="1"/>
  <c r="AG85" i="1"/>
  <c r="AG98" i="1"/>
  <c r="AG81" i="1"/>
  <c r="AG86" i="1"/>
  <c r="AE86" i="1" s="1"/>
  <c r="AG72" i="1"/>
  <c r="AE72" i="1" s="1"/>
  <c r="AG71" i="1"/>
  <c r="AE71" i="1" s="1"/>
  <c r="AG95" i="1"/>
  <c r="AE95" i="1" s="1"/>
  <c r="AG74" i="1"/>
  <c r="AE74" i="1" s="1"/>
  <c r="AG88" i="1"/>
  <c r="AE88" i="1" s="1"/>
  <c r="AG82" i="1"/>
  <c r="AE82" i="1" s="1"/>
  <c r="AG89" i="1"/>
  <c r="AE89" i="1" s="1"/>
  <c r="AG83" i="1"/>
  <c r="AE83" i="1" s="1"/>
  <c r="AG93" i="1"/>
  <c r="AG73" i="1"/>
  <c r="AE73" i="1" s="1"/>
  <c r="AG96" i="1"/>
  <c r="AG77" i="1"/>
  <c r="AE77" i="1" s="1"/>
  <c r="AG92" i="1"/>
  <c r="AE92" i="1" s="1"/>
  <c r="AG87" i="1"/>
  <c r="AH69" i="1"/>
  <c r="AI69" i="1" s="1"/>
  <c r="AH77" i="1"/>
  <c r="AI77" i="1" s="1"/>
  <c r="AH73" i="1"/>
  <c r="AI73" i="1" s="1"/>
  <c r="AH76" i="1"/>
  <c r="AI76" i="1" s="1"/>
  <c r="AH80" i="1"/>
  <c r="AI80" i="1" s="1"/>
  <c r="AH86" i="1"/>
  <c r="AI86" i="1" s="1"/>
  <c r="AH89" i="1"/>
  <c r="AI89" i="1" s="1"/>
  <c r="AH71" i="1"/>
  <c r="AI71" i="1" s="1"/>
  <c r="AH75" i="1"/>
  <c r="AI75" i="1" s="1"/>
  <c r="AH94" i="1"/>
  <c r="AI94" i="1" s="1"/>
  <c r="AH78" i="1"/>
  <c r="AI78" i="1" s="1"/>
  <c r="AH82" i="1"/>
  <c r="AI82" i="1" s="1"/>
  <c r="AH91" i="1"/>
  <c r="AI91" i="1" s="1"/>
  <c r="AH87" i="1"/>
  <c r="AI87" i="1" s="1"/>
  <c r="AH88" i="1"/>
  <c r="AI88" i="1" s="1"/>
  <c r="AH83" i="1"/>
  <c r="AI83" i="1" s="1"/>
  <c r="AH74" i="1"/>
  <c r="AI74" i="1" s="1"/>
  <c r="AH70" i="1"/>
  <c r="AI70" i="1" s="1"/>
  <c r="AH96" i="1"/>
  <c r="AI96" i="1" s="1"/>
  <c r="AH79" i="1"/>
  <c r="AI79" i="1" s="1"/>
  <c r="AH72" i="1"/>
  <c r="AI72" i="1" s="1"/>
  <c r="AH92" i="1"/>
  <c r="AI92" i="1" s="1"/>
  <c r="AH95" i="1"/>
  <c r="AI95" i="1" s="1"/>
  <c r="AH93" i="1"/>
  <c r="AI93" i="1" s="1"/>
  <c r="AH90" i="1"/>
  <c r="AI90" i="1" s="1"/>
  <c r="AH81" i="1"/>
  <c r="AI81" i="1" s="1"/>
  <c r="AH84" i="1"/>
  <c r="AI84" i="1" s="1"/>
  <c r="AH98" i="1"/>
  <c r="AI98" i="1" s="1"/>
  <c r="AH97" i="1"/>
  <c r="AI97" i="1" s="1"/>
  <c r="AH85" i="1"/>
  <c r="AI85" i="1" s="1"/>
  <c r="AK40" i="1"/>
  <c r="AL40" i="1" s="1"/>
  <c r="AK55" i="1"/>
  <c r="AL55" i="1" s="1"/>
  <c r="AK56" i="1"/>
  <c r="AL56" i="1" s="1"/>
  <c r="AD102" i="1"/>
  <c r="AD106" i="1"/>
  <c r="AD108" i="1"/>
  <c r="AD105" i="1"/>
  <c r="AD104" i="1"/>
  <c r="AD101" i="1"/>
  <c r="AD107" i="1"/>
  <c r="AD103" i="1"/>
  <c r="AD99" i="1"/>
  <c r="AD100" i="1"/>
  <c r="AF69" i="1"/>
  <c r="AM69" i="1" s="1"/>
  <c r="AK57" i="1" l="1"/>
  <c r="AL57" i="1" s="1"/>
  <c r="AM57" i="1"/>
  <c r="AK51" i="1"/>
  <c r="AL51" i="1" s="1"/>
  <c r="AM51" i="1"/>
  <c r="AK54" i="1"/>
  <c r="AL54" i="1" s="1"/>
  <c r="AM53" i="1"/>
  <c r="AK66" i="1"/>
  <c r="AL66" i="1" s="1"/>
  <c r="AM66" i="1"/>
  <c r="AK49" i="1"/>
  <c r="AL49" i="1" s="1"/>
  <c r="AM49" i="1"/>
  <c r="AK41" i="1"/>
  <c r="AL41" i="1" s="1"/>
  <c r="AM41" i="1"/>
  <c r="AK46" i="1"/>
  <c r="AL46" i="1" s="1"/>
  <c r="AM46" i="1"/>
  <c r="AT8" i="1"/>
  <c r="AG108" i="1"/>
  <c r="AE108" i="1" s="1"/>
  <c r="BI8" i="1"/>
  <c r="AK50" i="1"/>
  <c r="AL50" i="1" s="1"/>
  <c r="AK67" i="1"/>
  <c r="AL67" i="1" s="1"/>
  <c r="AK68" i="1"/>
  <c r="AL68" i="1" s="1"/>
  <c r="AK63" i="1"/>
  <c r="AL63" i="1" s="1"/>
  <c r="AK42" i="1"/>
  <c r="AL42" i="1" s="1"/>
  <c r="AK43" i="1"/>
  <c r="AL43" i="1" s="1"/>
  <c r="AK48" i="1"/>
  <c r="AL48" i="1" s="1"/>
  <c r="AK47" i="1"/>
  <c r="AL47" i="1" s="1"/>
  <c r="AK61" i="1"/>
  <c r="AL61" i="1" s="1"/>
  <c r="AE91" i="1"/>
  <c r="AF91" i="1" s="1"/>
  <c r="AE98" i="1"/>
  <c r="AF98" i="1" s="1"/>
  <c r="AM98" i="1" s="1"/>
  <c r="AE93" i="1"/>
  <c r="AF93" i="1" s="1"/>
  <c r="AE85" i="1"/>
  <c r="AF85" i="1" s="1"/>
  <c r="AE97" i="1"/>
  <c r="AF97" i="1" s="1"/>
  <c r="AM97" i="1" s="1"/>
  <c r="AE96" i="1"/>
  <c r="AF96" i="1" s="1"/>
  <c r="AM96" i="1" s="1"/>
  <c r="AE81" i="1"/>
  <c r="AF81" i="1" s="1"/>
  <c r="AM81" i="1" s="1"/>
  <c r="AK62" i="1"/>
  <c r="AL62" i="1" s="1"/>
  <c r="AK58" i="1"/>
  <c r="AL58" i="1" s="1"/>
  <c r="AE87" i="1"/>
  <c r="AF87" i="1" s="1"/>
  <c r="AM87" i="1" s="1"/>
  <c r="AF73" i="1"/>
  <c r="AM73" i="1" s="1"/>
  <c r="AF83" i="1"/>
  <c r="AF89" i="1"/>
  <c r="AM89" i="1" s="1"/>
  <c r="AK44" i="1"/>
  <c r="AL44" i="1" s="1"/>
  <c r="AK45" i="1"/>
  <c r="AL45" i="1" s="1"/>
  <c r="AK53" i="1"/>
  <c r="AL53" i="1" s="1"/>
  <c r="AK52" i="1"/>
  <c r="AL52" i="1" s="1"/>
  <c r="AK64" i="1"/>
  <c r="AL64" i="1" s="1"/>
  <c r="AK65" i="1"/>
  <c r="AL65" i="1" s="1"/>
  <c r="AK60" i="1"/>
  <c r="AL60" i="1" s="1"/>
  <c r="AK59" i="1"/>
  <c r="AL59" i="1" s="1"/>
  <c r="AF82" i="1"/>
  <c r="AM82" i="1" s="1"/>
  <c r="AF88" i="1"/>
  <c r="AM88" i="1" s="1"/>
  <c r="AF75" i="1"/>
  <c r="AM75" i="1" s="1"/>
  <c r="AF74" i="1"/>
  <c r="AM74" i="1" s="1"/>
  <c r="AF95" i="1"/>
  <c r="AM95" i="1" s="1"/>
  <c r="AF71" i="1"/>
  <c r="AF92" i="1"/>
  <c r="AM92" i="1" s="1"/>
  <c r="AF77" i="1"/>
  <c r="AF86" i="1"/>
  <c r="AM86" i="1" s="1"/>
  <c r="AF80" i="1"/>
  <c r="AM80" i="1" s="1"/>
  <c r="AF76" i="1"/>
  <c r="AM76" i="1" s="1"/>
  <c r="AF72" i="1"/>
  <c r="AM72" i="1" s="1"/>
  <c r="AK69" i="1"/>
  <c r="AL69" i="1" s="1"/>
  <c r="AG103" i="1"/>
  <c r="AG104" i="1"/>
  <c r="AG101" i="1"/>
  <c r="AG106" i="1"/>
  <c r="AE106" i="1" s="1"/>
  <c r="AG102" i="1"/>
  <c r="AE102" i="1" s="1"/>
  <c r="AG100" i="1"/>
  <c r="AE100" i="1" s="1"/>
  <c r="AG105" i="1"/>
  <c r="AE105" i="1" s="1"/>
  <c r="AG107" i="1"/>
  <c r="AE107" i="1" s="1"/>
  <c r="AF99" i="1"/>
  <c r="AM99" i="1" s="1"/>
  <c r="AH100" i="1"/>
  <c r="AI100" i="1" s="1"/>
  <c r="AH104" i="1"/>
  <c r="AI104" i="1" s="1"/>
  <c r="AH103" i="1"/>
  <c r="AI103" i="1" s="1"/>
  <c r="AH107" i="1"/>
  <c r="AI107" i="1" s="1"/>
  <c r="AH99" i="1"/>
  <c r="AI99" i="1" s="1"/>
  <c r="AH105" i="1"/>
  <c r="AI105" i="1" s="1"/>
  <c r="AH106" i="1"/>
  <c r="AI106" i="1" s="1"/>
  <c r="AH108" i="1"/>
  <c r="AI108" i="1" s="1"/>
  <c r="AH102" i="1"/>
  <c r="AI102" i="1" s="1"/>
  <c r="AH101" i="1"/>
  <c r="AI101" i="1" s="1"/>
  <c r="AZ8" i="1"/>
  <c r="AK70" i="1"/>
  <c r="AK79" i="1"/>
  <c r="AL79" i="1" s="1"/>
  <c r="AB5" i="1"/>
  <c r="BK12" i="1" a="1"/>
  <c r="BS8" i="1" a="1"/>
  <c r="BS8" i="1" l="1"/>
  <c r="AK94" i="1"/>
  <c r="AL94" i="1" s="1"/>
  <c r="AM93" i="1"/>
  <c r="AK91" i="1"/>
  <c r="AL91" i="1" s="1"/>
  <c r="AM91" i="1"/>
  <c r="AK78" i="1"/>
  <c r="AL78" i="1" s="1"/>
  <c r="AM77" i="1"/>
  <c r="AK84" i="1"/>
  <c r="AL84" i="1" s="1"/>
  <c r="AM83" i="1"/>
  <c r="AK85" i="1"/>
  <c r="AL85" i="1" s="1"/>
  <c r="AM85" i="1"/>
  <c r="AK71" i="1"/>
  <c r="AL71" i="1" s="1"/>
  <c r="AM71" i="1"/>
  <c r="BK12" i="1"/>
  <c r="AK89" i="1"/>
  <c r="AL89" i="1" s="1"/>
  <c r="AK90" i="1"/>
  <c r="AL90" i="1" s="1"/>
  <c r="AK97" i="1"/>
  <c r="AL97" i="1" s="1"/>
  <c r="AK98" i="1"/>
  <c r="AL98" i="1" s="1"/>
  <c r="AK81" i="1"/>
  <c r="AL81" i="1" s="1"/>
  <c r="AE101" i="1"/>
  <c r="AF101" i="1" s="1"/>
  <c r="AM101" i="1" s="1"/>
  <c r="AK74" i="1"/>
  <c r="AL74" i="1" s="1"/>
  <c r="AE104" i="1"/>
  <c r="AF104" i="1" s="1"/>
  <c r="AM104" i="1" s="1"/>
  <c r="AE103" i="1"/>
  <c r="AF103" i="1" s="1"/>
  <c r="AM103" i="1" s="1"/>
  <c r="AK88" i="1"/>
  <c r="AL88" i="1" s="1"/>
  <c r="AK76" i="1"/>
  <c r="AL76" i="1" s="1"/>
  <c r="AK87" i="1"/>
  <c r="AL87" i="1" s="1"/>
  <c r="AK86" i="1"/>
  <c r="AL86" i="1" s="1"/>
  <c r="AK96" i="1"/>
  <c r="AL96" i="1" s="1"/>
  <c r="AK95" i="1"/>
  <c r="AL95" i="1" s="1"/>
  <c r="AK92" i="1"/>
  <c r="AL92" i="1" s="1"/>
  <c r="AK93" i="1"/>
  <c r="AL93" i="1" s="1"/>
  <c r="AK83" i="1"/>
  <c r="AL83" i="1" s="1"/>
  <c r="AK82" i="1"/>
  <c r="AL82" i="1" s="1"/>
  <c r="AK75" i="1"/>
  <c r="AL75" i="1" s="1"/>
  <c r="AK72" i="1"/>
  <c r="AL72" i="1" s="1"/>
  <c r="AF108" i="1"/>
  <c r="AM108" i="1" s="1"/>
  <c r="AF107" i="1"/>
  <c r="AM107" i="1" s="1"/>
  <c r="AF105" i="1"/>
  <c r="AM105" i="1" s="1"/>
  <c r="AF102" i="1"/>
  <c r="AM102" i="1" s="1"/>
  <c r="AK77" i="1"/>
  <c r="AL77" i="1" s="1"/>
  <c r="AK80" i="1"/>
  <c r="AL80" i="1" s="1"/>
  <c r="AF106" i="1"/>
  <c r="AM106" i="1" s="1"/>
  <c r="AK73" i="1"/>
  <c r="AL73" i="1" s="1"/>
  <c r="AF100" i="1"/>
  <c r="AM100" i="1" s="1"/>
  <c r="AK99" i="1"/>
  <c r="AL99" i="1" s="1"/>
  <c r="AL70" i="1"/>
  <c r="BA9" i="1"/>
  <c r="BA8" i="1"/>
  <c r="BN8" i="1"/>
  <c r="BM8" i="1"/>
  <c r="BO12" i="1" a="1"/>
  <c r="BL12" i="1" a="1"/>
  <c r="BK8" i="1"/>
  <c r="BC8" i="1"/>
  <c r="AP8" i="1" l="1"/>
  <c r="AQ8" i="1" s="1"/>
  <c r="BL12" i="1"/>
  <c r="BO12" i="1"/>
  <c r="AC5" i="1"/>
  <c r="AK104" i="1"/>
  <c r="AL104" i="1" s="1"/>
  <c r="AK106" i="1"/>
  <c r="AL106" i="1" s="1"/>
  <c r="AK105" i="1"/>
  <c r="AL105" i="1" s="1"/>
  <c r="AR8" i="1"/>
  <c r="AK107" i="1"/>
  <c r="AL107" i="1" s="1"/>
  <c r="AK102" i="1"/>
  <c r="AL102" i="1" s="1"/>
  <c r="AK103" i="1"/>
  <c r="AL103" i="1" s="1"/>
  <c r="AK108" i="1"/>
  <c r="AL108" i="1" s="1"/>
  <c r="AK101" i="1"/>
  <c r="AL101" i="1" s="1"/>
  <c r="AK100" i="1"/>
  <c r="AL100" i="1" s="1"/>
  <c r="BB8" i="1"/>
  <c r="BE8" i="1"/>
  <c r="AZ13" i="1"/>
  <c r="BO8" i="1"/>
  <c r="AQ9" i="1" l="1"/>
  <c r="BD8" i="1"/>
  <c r="BA13" i="1"/>
  <c r="BF8" i="1"/>
  <c r="BP12" i="1" a="1"/>
  <c r="BL8" i="1"/>
  <c r="BP12" i="1" l="1"/>
  <c r="BB13" i="1"/>
  <c r="BB12" i="1"/>
  <c r="BP8" i="1"/>
  <c r="AS8" i="1"/>
  <c r="AW8" i="1"/>
  <c r="AP13" i="1"/>
  <c r="AU8" i="1"/>
  <c r="AV8" i="1" l="1"/>
  <c r="AQ13" i="1"/>
  <c r="AX8" i="1"/>
  <c r="AR13" i="1" l="1"/>
  <c r="AR12"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<sst xmlns="http://schemas.openxmlformats.org/spreadsheetml/2006/main" count="99" uniqueCount="88">
  <si>
    <t>Points</t>
  </si>
  <si>
    <t>x1</t>
  </si>
  <si>
    <t>y1</t>
  </si>
  <si>
    <t>value x</t>
  </si>
  <si>
    <t>value y</t>
  </si>
  <si>
    <t>Coordinate</t>
  </si>
  <si>
    <t>coordinate</t>
  </si>
  <si>
    <t>t</t>
  </si>
  <si>
    <t>Px(t)</t>
  </si>
  <si>
    <t>Py(t)</t>
  </si>
  <si>
    <t>A</t>
  </si>
  <si>
    <t>B</t>
  </si>
  <si>
    <t>C</t>
  </si>
  <si>
    <t>x2</t>
  </si>
  <si>
    <t>x3</t>
  </si>
  <si>
    <t>y2</t>
  </si>
  <si>
    <t>y3</t>
  </si>
  <si>
    <t>D</t>
  </si>
  <si>
    <t>x4</t>
  </si>
  <si>
    <t>y4</t>
  </si>
  <si>
    <t>Year</t>
  </si>
  <si>
    <t>Number of plants</t>
  </si>
  <si>
    <t>Interpolation index</t>
  </si>
  <si>
    <t>d/dt</t>
  </si>
  <si>
    <t>Plants</t>
  </si>
  <si>
    <t>Interpolation original data</t>
  </si>
  <si>
    <t>Interpolationused to get plants</t>
  </si>
  <si>
    <t>Bezier curve parameters</t>
  </si>
  <si>
    <t>Bezier calculation</t>
  </si>
  <si>
    <t>To keep constant plant amount after growth has ended:</t>
  </si>
  <si>
    <t>Length C</t>
  </si>
  <si>
    <t>Slope B:</t>
  </si>
  <si>
    <t>Length B</t>
  </si>
  <si>
    <t>Parameters on plant curve (10^)</t>
  </si>
  <si>
    <t>Bezier curve parameters for log10 curve</t>
  </si>
  <si>
    <t>Values for model</t>
  </si>
  <si>
    <t>Saturation Plants:</t>
  </si>
  <si>
    <t>Lifetime (yrs):</t>
  </si>
  <si>
    <t>Growth length (yrs):</t>
  </si>
  <si>
    <t>Scroll bar values for conversion</t>
  </si>
  <si>
    <t>B Length</t>
  </si>
  <si>
    <t>C length</t>
  </si>
  <si>
    <t>Total built:</t>
  </si>
  <si>
    <t>Begin cost per plant</t>
  </si>
  <si>
    <t>Cost</t>
  </si>
  <si>
    <t>Annual investment</t>
  </si>
  <si>
    <t>Total Cost:</t>
  </si>
  <si>
    <t>Doubling time</t>
  </si>
  <si>
    <t>parameters on Doublign time curve</t>
  </si>
  <si>
    <t>Slope:</t>
  </si>
  <si>
    <t>Slope C</t>
  </si>
  <si>
    <t>AI peak</t>
  </si>
  <si>
    <t>Total cost</t>
  </si>
  <si>
    <t>N(t) values</t>
  </si>
  <si>
    <t>0.5*Saturation</t>
  </si>
  <si>
    <t>PBR</t>
  </si>
  <si>
    <t>year</t>
  </si>
  <si>
    <t>D(AI)/dt</t>
  </si>
  <si>
    <t>ABS(D(Ai)/dt)</t>
  </si>
  <si>
    <t>Cost untill saturation</t>
  </si>
  <si>
    <t>0.7* saturation</t>
  </si>
  <si>
    <t>Range After peak</t>
  </si>
  <si>
    <t>Top 5 max changes after peak</t>
  </si>
  <si>
    <t>Peak</t>
  </si>
  <si>
    <t>Range after peak</t>
  </si>
  <si>
    <t>ABS(D(PBR)/DT)</t>
  </si>
  <si>
    <t>D(PBR)/DT</t>
  </si>
  <si>
    <t>Watch out for inserting colkumsn as it can mess up the indirect mentions in the formulas below.</t>
  </si>
  <si>
    <t>CPBR</t>
  </si>
  <si>
    <t>Experience factor</t>
  </si>
  <si>
    <t>Index:</t>
  </si>
  <si>
    <t>Max change</t>
  </si>
  <si>
    <t>AI</t>
  </si>
  <si>
    <t>N(t)</t>
  </si>
  <si>
    <t>yr</t>
  </si>
  <si>
    <t>3rd change</t>
  </si>
  <si>
    <t>Total Built</t>
  </si>
  <si>
    <t>Built till sat</t>
  </si>
  <si>
    <t>Built 0.5 sat</t>
  </si>
  <si>
    <t xml:space="preserve">Correction for overshoot </t>
  </si>
  <si>
    <t xml:space="preserve">Bult 0.7 </t>
  </si>
  <si>
    <t>MAXBlength</t>
  </si>
  <si>
    <t>MAX C length</t>
  </si>
  <si>
    <t>Cost to 0.5</t>
  </si>
  <si>
    <t>cost top 0.7</t>
  </si>
  <si>
    <t>Without correction</t>
  </si>
  <si>
    <t xml:space="preserve"> year</t>
  </si>
  <si>
    <t>Average cost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</si>
</sst>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0"/>
  </numFmts>
  <fonts count="10" x14ac:knownFonts="1">
    <font>
      <sz val="11"/>
      <color theme="1"/>
      <name val="Calibri"/>
      <family val="2"/>
      <scheme val="minor"/>
    </font>
    <font>
      <sz val="10"/>
      <color theme="1"/>
      <name val="Consolas"/>
      <family val="3"/>
    </font>
    <font>
      <sz val="11"/>
      <color rgb="FF333333"/>
      <name val="Courier New"/>
      <family val="3"/>
    </font>
    <font>
      <sz val="12"/>
      <color rgb="FF006100"/>
      <name val="Calibri"/>
      <family val="2"/>
      <scheme val="minor"/>
    </font>
    <font>
      <sz val="12"/>
      <color rgb="FF9C0006"/>
      <name val="Calibri"/>
      <family val="2"/>
      <scheme val="minor"/>
    </font>
    <font>
      <sz val="12"/>
      <color rgb="FF9C5700"/>
      <name val="Calibri"/>
      <family val="2"/>
      <scheme val="minor"/>
    </font>
    <font>
      <b/>
      <sz val="12"/>
      <color theme="0"/>
      <name val="Calibri"/>
      <family val="2"/>
      <scheme val="minor"/>
    </font>
    <font>
      <sz val="12"/>
      <color rgb="FF3F3F76"/>
      <name val="Calibri"/>
      <family val="2"/>
      <scheme val="minor"/>
    </font>
    <font>
      <sz val="12"/>
      <color theme="0"/>
      <name val="Calibri"/>
      <family val="2"/>
      <scheme val="minor"/>
    </font>
    <font>
      <b/>
      <sz val="11"/>
      <color theme="1"/>
      <name val="Calibri"/>
      <family val="2"/>
      <scheme val="minor"/>
    </font>
  </fonts>
  <fills count="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A5A5A5"/>
      </patternFill>
    </fill>
    <fill>
      <patternFill patternType="solid">
        <fgColor rgb="FFFFCC99"/>
      </patternFill>
    </fill>
    <fill>
      <patternFill patternType="solid">
        <fgColor theme="6"/>
      </patternFill>
    </fill>
  </fills>
  <borders count="10">
    <border>
      <left/>
      <right/>
      <top/>
      <bottom/>
      <diagonal/>
    </border>
    <border>
      <left style="double">
        <color rgb="FF3F3F3F"/>
      </left>
      <right style="double">
        <color rgb="FF3F3F3F"/>
      </right>
      <top style="double">
        <color rgb="FF3F3F3F"/>
      </top>
      <bottom style="double">
        <color rgb="FF3F3F3F"/>
      </bottom>
      <diagonal/>
    </border>
    <border>
      <left style="double">
        <color rgb="FF3F3F3F"/>
      </left>
      <right/>
      <top/>
      <bottom/>
      <diagonal/>
    </border>
    <border>
      <left style="thin">
        <color rgb="FF7F7F7F"/>
      </left>
      <right style="thin">
        <color rgb="FF7F7F7F"/>
      </right>
      <top style="thin">
        <color rgb="FF7F7F7F"/>
      </top>
      <bottom style="thin">
        <color rgb="FF7F7F7F"/>
      </bottom>
      <diagonal/>
    </border>
    <border>
      <left style="thin">
        <color rgb="FF7F7F7F"/>
      </left>
      <right/>
      <top style="thin">
        <color rgb="FF7F7F7F"/>
      </top>
      <bottom style="thin">
        <color rgb="FF7F7F7F"/>
      </bottom>
      <diagonal/>
    </border>
    <border>
      <left/>
      <right/>
      <top style="thin">
        <color rgb="FF7F7F7F"/>
      </top>
      <bottom style="thin">
        <color rgb="FF7F7F7F"/>
      </bottom>
      <diagonal/>
    </border>
    <border>
      <left/>
      <right style="thin">
        <color rgb="FF7F7F7F"/>
      </right>
      <top style="thin">
        <color rgb="FF7F7F7F"/>
      </top>
      <bottom style="thin">
        <color rgb="FF7F7F7F"/>
      </bottom>
      <diagonal/>
    </border>
    <border>
      <left/>
      <right style="double">
        <color rgb="FF3F3F3F"/>
      </right>
      <top/>
      <bottom/>
      <diagonal/>
    </border>
    <border>
      <left/>
      <right/>
      <top style="double">
        <color rgb="FF3F3F3F"/>
      </top>
      <bottom/>
      <diagonal/>
    </border>
    <border>
      <left style="thin">
        <color rgb="FF7F7F7F"/>
      </left>
      <right style="thin">
        <color rgb="FF7F7F7F"/>
      </right>
      <top/>
      <bottom/>
      <diagonal/>
    </border>
  </borders>
  <cellStyleXfs count="7">
    <xf numFmtId="0" fontId="0" fillId="0" borderId="0"/>
    <xf numFmtId="0" fontId="3" fillId="2" borderId="0" applyNumberFormat="0" applyBorder="0" applyAlignment="0" applyProtection="0"/>
    <xf numFmtId="0" fontId="4" fillId="3" borderId="0" applyNumberFormat="0" applyBorder="0" applyAlignment="0" applyProtection="0"/>
    <xf numFmtId="0" fontId="5" fillId="4" borderId="0" applyNumberFormat="0" applyBorder="0" applyAlignment="0" applyProtection="0"/>
    <xf numFmtId="0" fontId="6" fillId="5" borderId="1" applyNumberFormat="0" applyAlignment="0" applyProtection="0"/>
    <xf numFmtId="0" fontId="7" fillId="6" borderId="3" applyNumberFormat="0" applyAlignment="0" applyProtection="0"/>
    <xf numFmtId="0" fontId="8" fillId="7" borderId="0" applyNumberFormat="0" applyBorder="0" applyAlignment="0" applyProtection="0"/>
  </cellStyleXfs>
  <cellXfs count="48">
    <xf numFmtId="0" fontId="0" fillId="0" borderId="0" xfId="0"/>
    <xf numFmtId="0" fontId="1" fillId="0" borderId="0" xfId="0" applyFont="1" applyAlignment="1">
      <alignment horizontal="left" vertical="center" indent="1"/>
    </xf>
    <xf numFmtId="0" fontId="2" fillId="0" borderId="0" xfId="0" quotePrefix="1" applyFont="1"/>
    <xf numFmtId="0" fontId="0" fillId="0" borderId="0" xfId="0" applyAlignment="1">
      <alignment horizontal="center"/>
    </xf>
    <xf numFmtId="0" fontId="0" fillId="0" borderId="0" xfId="0" applyAlignment="1">
      <alignment horizontal="center"/>
    </xf>
    <xf numFmtId="0" fontId="0" fillId="0" borderId="0" xfId="0" applyAlignment="1">
      <alignment horizontal="center" vertical="top"/>
    </xf>
    <xf numFmtId="0" fontId="8" fillId="7" borderId="0" xfId="6"/>
    <xf numFmtId="0" fontId="0" fillId="0" borderId="0" xfId="0" applyAlignment="1">
      <alignment horizontal="center"/>
    </xf>
    <xf numFmtId="0" fontId="0" fillId="0" borderId="0" xfId="0" applyAlignment="1">
      <alignment horizontal="center"/>
    </xf>
    <xf numFmtId="0" fontId="0" fillId="0" borderId="0" xfId="0" applyAlignment="1">
      <alignment wrapText="1"/>
    </xf>
    <xf numFmtId="0" fontId="3" fillId="2" borderId="0" xfId="1" applyAlignment="1">
      <alignment horizontal="center"/>
    </xf>
    <xf numFmtId="0" fontId="0" fillId="0" borderId="0" xfId="0" applyAlignment="1">
      <alignment horizontal="center"/>
    </xf>
    <xf numFmtId="0" fontId="6" fillId="5" borderId="1" xfId="4"/>
    <xf numFmtId="0" fontId="6" fillId="5" borderId="1" xfId="4" applyAlignment="1">
      <alignment horizontal="left" vertical="center" indent="1"/>
    </xf>
    <xf numFmtId="0" fontId="4" fillId="3" borderId="0" xfId="2"/>
    <xf numFmtId="0" fontId="3" fillId="2" borderId="0" xfId="1"/>
    <xf numFmtId="0" fontId="3" fillId="2" borderId="0" xfId="1" applyAlignment="1"/>
    <xf numFmtId="0" fontId="7" fillId="6" borderId="3" xfId="5" applyAlignment="1">
      <alignment wrapText="1"/>
    </xf>
    <xf numFmtId="0" fontId="7" fillId="6" borderId="3" xfId="5"/>
    <xf numFmtId="0" fontId="3" fillId="2" borderId="0" xfId="1" applyAlignment="1">
      <alignment horizontal="center"/>
    </xf>
    <xf numFmtId="0" fontId="4" fillId="3" borderId="0" xfId="2" applyAlignment="1">
      <alignment horizontal="center"/>
    </xf>
    <xf numFmtId="0" fontId="7" fillId="6" borderId="9" xfId="5" applyBorder="1"/>
    <xf numFmtId="0" fontId="7" fillId="6" borderId="0" xfId="5" applyBorder="1"/>
    <xf numFmtId="0" fontId="4" fillId="3" borderId="0" xfId="2" applyAlignment="1"/>
    <xf numFmtId="0" fontId="7" fillId="6" borderId="3" xfId="5" applyAlignment="1">
      <alignment vertical="top" wrapText="1"/>
    </xf>
    <xf numFmtId="164" fontId="0" fillId="0" borderId="0" xfId="0" applyNumberFormat="1"/>
    <xf numFmtId="164" fontId="3" fillId="2" borderId="0" xfId="1" applyNumberFormat="1" applyAlignment="1">
      <alignment horizontal="center"/>
    </xf>
    <xf numFmtId="164" fontId="0" fillId="0" borderId="0" xfId="0" applyNumberFormat="1" applyAlignment="1">
      <alignment wrapText="1"/>
    </xf>
    <xf numFmtId="164" fontId="3" fillId="2" borderId="0" xfId="1" applyNumberFormat="1" applyAlignment="1"/>
    <xf numFmtId="164" fontId="2" fillId="0" borderId="0" xfId="0" quotePrefix="1" applyNumberFormat="1" applyFont="1"/>
    <xf numFmtId="164" fontId="4" fillId="3" borderId="0" xfId="2" applyNumberFormat="1"/>
    <xf numFmtId="164" fontId="0" fillId="0" borderId="0" xfId="0" applyNumberFormat="1" applyAlignment="1">
      <alignment horizontal="center"/>
    </xf>
    <xf numFmtId="1" fontId="0" fillId="0" borderId="0" xfId="0" applyNumberFormat="1"/>
    <xf numFmtId="1" fontId="4" fillId="3" borderId="0" xfId="2" applyNumberFormat="1"/>
    <xf numFmtId="1" fontId="0" fillId="0" borderId="0" xfId="0" applyNumberFormat="1" applyAlignment="1">
      <alignment horizontal="center" vertical="top"/>
    </xf>
    <xf numFmtId="0" fontId="7" fillId="6" borderId="4" xfId="5" applyBorder="1" applyAlignment="1">
      <alignment horizontal="center"/>
    </xf>
    <xf numFmtId="0" fontId="7" fillId="6" borderId="5" xfId="5" applyBorder="1" applyAlignment="1">
      <alignment horizontal="center"/>
    </xf>
    <xf numFmtId="0" fontId="7" fillId="6" borderId="6" xfId="5" applyBorder="1" applyAlignment="1">
      <alignment horizontal="center"/>
    </xf>
    <xf numFmtId="0" fontId="4" fillId="3" borderId="0" xfId="2" applyAlignment="1">
      <alignment horizontal="center"/>
    </xf>
    <xf numFmtId="0" fontId="3" fillId="2" borderId="0" xfId="1" applyAlignment="1">
      <alignment horizontal="center"/>
    </xf>
    <xf numFmtId="0" fontId="4" fillId="3" borderId="7" xfId="2" applyBorder="1" applyAlignment="1">
      <alignment horizontal="center"/>
    </xf>
    <xf numFmtId="0" fontId="6" fillId="5" borderId="1" xfId="4" applyAlignment="1">
      <alignment horizontal="center"/>
    </xf>
    <xf numFmtId="0" fontId="3" fillId="2" borderId="2" xfId="1" applyBorder="1" applyAlignment="1">
      <alignment horizontal="center"/>
    </xf>
    <xf numFmtId="0" fontId="9" fillId="0" borderId="0" xfId="0" applyFont="1" applyAlignment="1">
      <alignment horizontal="center" wrapText="1"/>
    </xf>
    <xf numFmtId="0" fontId="0" fillId="0" borderId="0" xfId="0" applyAlignment="1">
      <alignment horizontal="center"/>
    </xf>
    <xf numFmtId="0" fontId="5" fillId="4" borderId="2" xfId="3" applyBorder="1" applyAlignment="1">
      <alignment horizontal="center"/>
    </xf>
    <xf numFmtId="0" fontId="5" fillId="4" borderId="0" xfId="3" applyAlignment="1">
      <alignment horizontal="center"/>
    </xf>
    <xf numFmtId="0" fontId="4" fillId="3" borderId="8" xfId="2" applyBorder="1" applyAlignment="1">
      <alignment horizontal="center"/>
    </xf>
  </cellXfs>
  <cellStyles count="7">
    <cellStyle name="Accent3" xfId="6" builtinId="37"/>
    <cellStyle name="Bad" xfId="2" builtinId="27"/>
    <cellStyle name="Check Cell" xfId="4" builtinId="23"/>
    <cellStyle name="Good" xfId="1" builtinId="26"/>
    <cellStyle name="Input" xfId="5" builtinId="20"/>
    <cellStyle name="Neutral" xfId="3" builtinId="28"/>
    <cellStyle name="Normal" xfId="0" builtinId="0"/>
  </cellStyles>
  <dxfs count="0"/>
  <tableStyles count="0" defaultTableStyle="TableStyleMedium2" defaultPivotStyle="PivotStyleLight16"/>
  <colors>
    <mruColors>
      <color rgb="FF00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eetMetadata" Target="metadata.xml"/><Relationship Id="rId5" Type="http://schemas.openxmlformats.org/officeDocument/2006/relationships/sharedStrings" Target="sharedStrings.xml"/><Relationship Id="rId4" Type="http://schemas.openxmlformats.org/officeDocument/2006/relationships/styles" Target="styles.xml"/><Relationship Id="rId9" Type="http://schemas.microsoft.com/office/2006/relationships/vbaProject" Target="vbaProject.bin"/></Relationships>
</file>

<file path=xl/charts/_rels/chart4.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7.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Operational plants over time (bezier data)</a:t>
            </a:r>
            <a:endParaRPr lang="en-GB" baseline="0"/>
          </a:p>
        </c:rich>
      </c:tx>
      <c:layout>
        <c:manualLayout>
          <c:xMode val="edge"/>
          <c:yMode val="edge"/>
          <c:x val="0.22322254003163461"/>
          <c:y val="2.5946019753311182E-2"/>
        </c:manualLayout>
      </c:layout>
      <c:overlay val="0"/>
      <c:spPr>
        <a:noFill/>
        <a:ln>
          <a:noFill/>
        </a:ln>
        <a:effectLst/>
      </c:spPr>
    </c:title>
    <c:autoTitleDeleted val="0"/>
    <c:plotArea>
      <c:layout/>
      <c:scatterChart>
        <c:scatterStyle val="lineMarker"/>
        <c:varyColors val="0"/>
        <c:ser>
          <c:idx val="4"/>
          <c:order val="0"/>
          <c:tx>
            <c:v>Point A and B</c:v>
          </c:tx>
          <c:spPr>
            <a:ln w="19050" cap="rnd">
              <a:solidFill>
                <a:schemeClr val="tx1"/>
              </a:solidFill>
              <a:round/>
            </a:ln>
            <a:effectLst/>
          </c:spPr>
          <c:marker>
            <c:symbol val="diamond"/>
            <c:size val="13"/>
            <c:spPr>
              <a:solidFill>
                <a:schemeClr val="accent2"/>
              </a:solidFill>
              <a:ln w="15875">
                <a:solidFill>
                  <a:schemeClr val="tx1"/>
                </a:solidFill>
              </a:ln>
              <a:effectLst/>
            </c:spPr>
          </c:marker>
          <c:dLbls>
            <c:dLbl>
              <c:idx val="0"/>
              <c:layout>
                <c:manualLayout>
                  <c:x val="-7.8431387226856289E-2"/>
                  <c:y val="-2.3121387283236993E-2"/>
                </c:manualLayout>
              </c:layout>
              <c:tx>
                <c:rich>
                  <a:bodyPr/>
                  <a:lstStyle/>
                  <a:p>
                    <a:r>
                      <a:rPr lang="en-US" b="1"/>
                      <a:t>B</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9234-4612-98F3-3CA43E50E980}"/>
                </c:ext>
              </c:extLst>
            </c:dLbl>
            <c:dLbl>
              <c:idx val="1"/>
              <c:layout>
                <c:manualLayout>
                  <c:x val="3.0897213149973665E-2"/>
                  <c:y val="-3.4682080924855488E-2"/>
                </c:manualLayout>
              </c:layout>
              <c:tx>
                <c:rich>
                  <a:bodyPr/>
                  <a:lstStyle/>
                  <a:p>
                    <a:r>
                      <a:rPr lang="en-US" b="1"/>
                      <a:t>A</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9234-4612-98F3-3CA43E50E980}"/>
                </c:ext>
              </c:extLst>
            </c:dLbl>
            <c:spPr>
              <a:solidFill>
                <a:schemeClr val="lt1"/>
              </a:solidFill>
              <a:ln w="12700" cap="flat" cmpd="sng" algn="ctr">
                <a:solidFill>
                  <a:schemeClr val="dk1"/>
                </a:solidFill>
                <a:prstDash val="solid"/>
                <a:miter lim="800000"/>
              </a:ln>
              <a:effectLst/>
            </c:spPr>
            <c:txPr>
              <a:bodyPr wrap="square" lIns="38100" tIns="19050" rIns="38100" bIns="19050" anchor="ctr">
                <a:spAutoFit/>
              </a:bodyPr>
              <a:lstStyle/>
              <a:p>
                <a:pPr>
                  <a:defRPr>
                    <a:solidFill>
                      <a:schemeClr val="dk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xVal>
            <c:numRef>
              <c:f>(Sheet1!$D$9,Sheet1!$D$8)</c:f>
              <c:numCache>
                <c:formatCode>General</c:formatCode>
                <c:ptCount val="2"/>
                <c:pt idx="0">
                  <c:v>0.99718012695849811</c:v>
                </c:pt>
                <c:pt idx="1">
                  <c:v>0</c:v>
                </c:pt>
              </c:numCache>
            </c:numRef>
          </c:xVal>
          <c:yVal>
            <c:numRef>
              <c:f>(Sheet1!$E$9,Sheet1!$E$8)</c:f>
              <c:numCache>
                <c:formatCode>General</c:formatCode>
                <c:ptCount val="2"/>
                <c:pt idx="0">
                  <c:v>7.5045282323631224E-2</c:v>
                </c:pt>
                <c:pt idx="1">
                  <c:v>0</c:v>
                </c:pt>
              </c:numCache>
            </c:numRef>
          </c:yVal>
          <c:smooth val="0"/>
          <c:extLst>
            <c:ext xmlns:c16="http://schemas.microsoft.com/office/drawing/2014/chart" uri="{C3380CC4-5D6E-409C-BE32-E72D297353CC}">
              <c16:uniqueId val="{00000002-9234-4612-98F3-3CA43E50E980}"/>
            </c:ext>
          </c:extLst>
        </c:ser>
        <c:ser>
          <c:idx val="5"/>
          <c:order val="1"/>
          <c:tx>
            <c:v>Point C and D</c:v>
          </c:tx>
          <c:spPr>
            <a:ln w="19050" cap="rnd">
              <a:solidFill>
                <a:srgbClr val="000000"/>
              </a:solidFill>
              <a:round/>
            </a:ln>
            <a:effectLst/>
          </c:spPr>
          <c:marker>
            <c:symbol val="diamond"/>
            <c:size val="13"/>
            <c:spPr>
              <a:solidFill>
                <a:schemeClr val="accent4">
                  <a:lumMod val="60000"/>
                  <a:lumOff val="40000"/>
                </a:schemeClr>
              </a:solidFill>
              <a:ln w="15875">
                <a:solidFill>
                  <a:schemeClr val="tx1"/>
                </a:solidFill>
              </a:ln>
              <a:effectLst/>
            </c:spPr>
          </c:marker>
          <c:dLbls>
            <c:dLbl>
              <c:idx val="0"/>
              <c:layout>
                <c:manualLayout>
                  <c:x val="-2.3767087038441734E-3"/>
                  <c:y val="-5.7803468208092484E-2"/>
                </c:manualLayout>
              </c:layout>
              <c:tx>
                <c:rich>
                  <a:bodyPr/>
                  <a:lstStyle/>
                  <a:p>
                    <a:r>
                      <a:rPr lang="en-US" b="1"/>
                      <a:t>C</a:t>
                    </a:r>
                  </a:p>
                </c:rich>
              </c:tx>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9234-4612-98F3-3CA43E50E980}"/>
                </c:ext>
              </c:extLst>
            </c:dLbl>
            <c:dLbl>
              <c:idx val="1"/>
              <c:layout>
                <c:manualLayout>
                  <c:x val="0"/>
                  <c:y val="-5.7803468208092484E-2"/>
                </c:manualLayout>
              </c:layout>
              <c:tx>
                <c:rich>
                  <a:bodyPr/>
                  <a:lstStyle/>
                  <a:p>
                    <a:r>
                      <a:rPr lang="en-US" b="1"/>
                      <a:t>D</a:t>
                    </a:r>
                  </a:p>
                </c:rich>
              </c:tx>
              <c:showLegendKey val="0"/>
              <c:showVal val="1"/>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9234-4612-98F3-3CA43E50E980}"/>
                </c:ext>
              </c:extLst>
            </c:dLbl>
            <c:spPr>
              <a:solidFill>
                <a:schemeClr val="lt1"/>
              </a:solidFill>
              <a:ln w="12700" cap="flat" cmpd="sng" algn="ctr">
                <a:solidFill>
                  <a:schemeClr val="dk1"/>
                </a:solidFill>
                <a:prstDash val="solid"/>
                <a:miter lim="800000"/>
              </a:ln>
              <a:effectLst/>
            </c:spPr>
            <c:txPr>
              <a:bodyPr wrap="square" lIns="38100" tIns="19050" rIns="38100" bIns="19050" anchor="ctr">
                <a:spAutoFit/>
              </a:bodyPr>
              <a:lstStyle/>
              <a:p>
                <a:pPr>
                  <a:defRPr>
                    <a:solidFill>
                      <a:schemeClr val="dk1"/>
                    </a:solidFill>
                    <a:latin typeface="+mn-lt"/>
                    <a:ea typeface="+mn-ea"/>
                    <a:cs typeface="+mn-cs"/>
                  </a:defRPr>
                </a:pPr>
                <a:endParaRPr lang="en-US"/>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(Sheet1!$D$10,Sheet1!$D$11)</c:f>
              <c:numCache>
                <c:formatCode>General</c:formatCode>
                <c:ptCount val="2"/>
                <c:pt idx="0">
                  <c:v>46.203000000000003</c:v>
                </c:pt>
                <c:pt idx="1">
                  <c:v>50</c:v>
                </c:pt>
              </c:numCache>
            </c:numRef>
          </c:xVal>
          <c:yVal>
            <c:numRef>
              <c:f>(Sheet1!$E$10,Sheet1!$E$11)</c:f>
              <c:numCache>
                <c:formatCode>General</c:formatCode>
                <c:ptCount val="2"/>
                <c:pt idx="0">
                  <c:v>3.4771212547196626</c:v>
                </c:pt>
                <c:pt idx="1">
                  <c:v>3.4771212547196626</c:v>
                </c:pt>
              </c:numCache>
            </c:numRef>
          </c:yVal>
          <c:smooth val="0"/>
          <c:extLst>
            <c:ext xmlns:c16="http://schemas.microsoft.com/office/drawing/2014/chart" uri="{C3380CC4-5D6E-409C-BE32-E72D297353CC}">
              <c16:uniqueId val="{00000005-9234-4612-98F3-3CA43E50E980}"/>
            </c:ext>
          </c:extLst>
        </c:ser>
        <c:dLbls>
          <c:showLegendKey val="0"/>
          <c:showVal val="0"/>
          <c:showCatName val="0"/>
          <c:showSerName val="0"/>
          <c:showPercent val="0"/>
          <c:showBubbleSize val="0"/>
        </c:dLbls>
        <c:axId val="1292577295"/>
        <c:axId val="1296221023"/>
      </c:scatterChart>
      <c:scatterChart>
        <c:scatterStyle val="smoothMarker"/>
        <c:varyColors val="0"/>
        <c:ser>
          <c:idx val="1"/>
          <c:order val="3"/>
          <c:tx>
            <c:v>Log(N)</c:v>
          </c:tx>
          <c:spPr>
            <a:ln w="19050">
              <a:noFill/>
            </a:ln>
          </c:spPr>
          <c:marker>
            <c:symbol val="diamond"/>
            <c:size val="3"/>
          </c:marker>
          <c:xVal>
            <c:numRef>
              <c:f>Sheet1!$H$8:$H$1058</c:f>
              <c:numCache>
                <c:formatCode>0.0000</c:formatCode>
                <c:ptCount val="1051"/>
                <c:pt idx="0">
                  <c:v>0</c:v>
                </c:pt>
                <c:pt idx="1">
                  <c:v>3.1240806826541246E-3</c:v>
                </c:pt>
                <c:pt idx="2">
                  <c:v>6.5128994990270314E-3</c:v>
                </c:pt>
                <c:pt idx="3">
                  <c:v>1.0165942744361011E-2</c:v>
                </c:pt>
                <c:pt idx="4">
                  <c:v>1.4082696713898338E-2</c:v>
                </c:pt>
                <c:pt idx="5">
                  <c:v>1.8262647702881309E-2</c:v>
                </c:pt>
                <c:pt idx="6">
                  <c:v>2.2705282006552203E-2</c:v>
                </c:pt>
                <c:pt idx="7">
                  <c:v>2.7410085920153301E-2</c:v>
                </c:pt>
                <c:pt idx="8">
                  <c:v>3.2376545738926898E-2</c:v>
                </c:pt>
                <c:pt idx="9">
                  <c:v>3.7604147758115283E-2</c:v>
                </c:pt>
                <c:pt idx="10">
                  <c:v>4.3092378272960731E-2</c:v>
                </c:pt>
                <c:pt idx="11">
                  <c:v>4.884072357870553E-2</c:v>
                </c:pt>
                <c:pt idx="12">
                  <c:v>5.4848669970591964E-2</c:v>
                </c:pt>
                <c:pt idx="13">
                  <c:v>6.1115703743862319E-2</c:v>
                </c:pt>
                <c:pt idx="14">
                  <c:v>6.7641311193758893E-2</c:v>
                </c:pt>
                <c:pt idx="15">
                  <c:v>7.442497861552394E-2</c:v>
                </c:pt>
                <c:pt idx="16">
                  <c:v>8.1466192304399776E-2</c:v>
                </c:pt>
                <c:pt idx="17">
                  <c:v>8.8764438555628669E-2</c:v>
                </c:pt>
                <c:pt idx="18">
                  <c:v>9.6319203664452929E-2</c:v>
                </c:pt>
                <c:pt idx="19">
                  <c:v>0.10412997392611478</c:v>
                </c:pt>
                <c:pt idx="20">
                  <c:v>0.11219623563585658</c:v>
                </c:pt>
                <c:pt idx="21">
                  <c:v>0.12051747508892059</c:v>
                </c:pt>
                <c:pt idx="22">
                  <c:v>0.12909317858054906</c:v>
                </c:pt>
                <c:pt idx="23">
                  <c:v>0.13792283240598432</c:v>
                </c:pt>
                <c:pt idx="24">
                  <c:v>0.14700592286046865</c:v>
                </c:pt>
                <c:pt idx="25">
                  <c:v>0.15634193623924431</c:v>
                </c:pt>
                <c:pt idx="26">
                  <c:v>0.16593035883755361</c:v>
                </c:pt>
                <c:pt idx="27">
                  <c:v>0.1757706769506388</c:v>
                </c:pt>
                <c:pt idx="28">
                  <c:v>0.18586237687374221</c:v>
                </c:pt>
                <c:pt idx="29">
                  <c:v>0.19620494490210616</c:v>
                </c:pt>
                <c:pt idx="30">
                  <c:v>0.20679786733097277</c:v>
                </c:pt>
                <c:pt idx="31">
                  <c:v>0.21764063045558452</c:v>
                </c:pt>
                <c:pt idx="32">
                  <c:v>0.22873272057118363</c:v>
                </c:pt>
                <c:pt idx="33">
                  <c:v>0.2400736239730123</c:v>
                </c:pt>
                <c:pt idx="34">
                  <c:v>0.25166282695631287</c:v>
                </c:pt>
                <c:pt idx="35">
                  <c:v>0.26349981581632764</c:v>
                </c:pt>
                <c:pt idx="36">
                  <c:v>0.275584076848299</c:v>
                </c:pt>
                <c:pt idx="37">
                  <c:v>0.28791509634746904</c:v>
                </c:pt>
                <c:pt idx="38">
                  <c:v>0.30049236060908013</c:v>
                </c:pt>
                <c:pt idx="39">
                  <c:v>0.31331535592837456</c:v>
                </c:pt>
                <c:pt idx="40">
                  <c:v>0.32638356860059459</c:v>
                </c:pt>
                <c:pt idx="41">
                  <c:v>0.33969648492098264</c:v>
                </c:pt>
                <c:pt idx="42">
                  <c:v>0.35325359118478072</c:v>
                </c:pt>
                <c:pt idx="43">
                  <c:v>0.36705437368723143</c:v>
                </c:pt>
                <c:pt idx="44">
                  <c:v>0.3810983187235768</c:v>
                </c:pt>
                <c:pt idx="45">
                  <c:v>0.39538491258905928</c:v>
                </c:pt>
                <c:pt idx="46">
                  <c:v>0.40991364157892113</c:v>
                </c:pt>
                <c:pt idx="47">
                  <c:v>0.42468399198840445</c:v>
                </c:pt>
                <c:pt idx="48">
                  <c:v>0.4396954501127518</c:v>
                </c:pt>
                <c:pt idx="49">
                  <c:v>0.45494750224720532</c:v>
                </c:pt>
                <c:pt idx="50">
                  <c:v>0.47043963468700734</c:v>
                </c:pt>
                <c:pt idx="51">
                  <c:v>0.48617133372740007</c:v>
                </c:pt>
                <c:pt idx="52">
                  <c:v>0.50214208566362584</c:v>
                </c:pt>
                <c:pt idx="53">
                  <c:v>0.51835137679092691</c:v>
                </c:pt>
                <c:pt idx="54">
                  <c:v>0.53479869340454578</c:v>
                </c:pt>
                <c:pt idx="55">
                  <c:v>0.55148352179972437</c:v>
                </c:pt>
                <c:pt idx="56">
                  <c:v>0.56840534827170519</c:v>
                </c:pt>
                <c:pt idx="57">
                  <c:v>0.58556365911573049</c:v>
                </c:pt>
                <c:pt idx="58">
                  <c:v>0.60295794062704244</c:v>
                </c:pt>
                <c:pt idx="59">
                  <c:v>0.62058767910088364</c:v>
                </c:pt>
                <c:pt idx="60">
                  <c:v>0.63845236083249601</c:v>
                </c:pt>
                <c:pt idx="61">
                  <c:v>0.65655147211712206</c:v>
                </c:pt>
                <c:pt idx="62">
                  <c:v>0.67488449925000404</c:v>
                </c:pt>
                <c:pt idx="63">
                  <c:v>0.69345092852638401</c:v>
                </c:pt>
                <c:pt idx="64">
                  <c:v>0.71225024624150468</c:v>
                </c:pt>
                <c:pt idx="65">
                  <c:v>0.73128193869060798</c:v>
                </c:pt>
                <c:pt idx="66">
                  <c:v>0.7505454921689364</c:v>
                </c:pt>
                <c:pt idx="67">
                  <c:v>0.7700403929717321</c:v>
                </c:pt>
                <c:pt idx="68">
                  <c:v>0.78976612739423735</c:v>
                </c:pt>
                <c:pt idx="69">
                  <c:v>0.80972218173169463</c:v>
                </c:pt>
                <c:pt idx="70">
                  <c:v>0.829908042279346</c:v>
                </c:pt>
                <c:pt idx="71">
                  <c:v>0.85032319533243395</c:v>
                </c:pt>
                <c:pt idx="72">
                  <c:v>0.87096712718620062</c:v>
                </c:pt>
                <c:pt idx="73">
                  <c:v>0.89183932413588818</c:v>
                </c:pt>
                <c:pt idx="74">
                  <c:v>0.91293927247673923</c:v>
                </c:pt>
                <c:pt idx="75">
                  <c:v>0.9342664585039957</c:v>
                </c:pt>
                <c:pt idx="76">
                  <c:v>0.95582036851290042</c:v>
                </c:pt>
                <c:pt idx="77">
                  <c:v>0.97760048879869477</c:v>
                </c:pt>
                <c:pt idx="78">
                  <c:v>0.99960630565662212</c:v>
                </c:pt>
                <c:pt idx="79">
                  <c:v>1.0218373053819239</c:v>
                </c:pt>
                <c:pt idx="80">
                  <c:v>1.0442929742698428</c:v>
                </c:pt>
                <c:pt idx="81">
                  <c:v>1.066972798615621</c:v>
                </c:pt>
                <c:pt idx="82">
                  <c:v>1.0898762647145008</c:v>
                </c:pt>
                <c:pt idx="83">
                  <c:v>1.1130028588617245</c:v>
                </c:pt>
                <c:pt idx="84">
                  <c:v>1.1363520673525342</c:v>
                </c:pt>
                <c:pt idx="85">
                  <c:v>1.1599233764821728</c:v>
                </c:pt>
                <c:pt idx="86">
                  <c:v>1.1837162725458821</c:v>
                </c:pt>
                <c:pt idx="87">
                  <c:v>1.207730241838904</c:v>
                </c:pt>
                <c:pt idx="88">
                  <c:v>1.2319647706564816</c:v>
                </c:pt>
                <c:pt idx="89">
                  <c:v>1.2564193452938563</c:v>
                </c:pt>
                <c:pt idx="90">
                  <c:v>1.2810934520462713</c:v>
                </c:pt>
                <c:pt idx="91">
                  <c:v>1.3059865772089685</c:v>
                </c:pt>
                <c:pt idx="92">
                  <c:v>1.33109820707719</c:v>
                </c:pt>
                <c:pt idx="93">
                  <c:v>1.3564278279461783</c:v>
                </c:pt>
                <c:pt idx="94">
                  <c:v>1.3819749261111753</c:v>
                </c:pt>
                <c:pt idx="95">
                  <c:v>1.4077389878674242</c:v>
                </c:pt>
                <c:pt idx="96">
                  <c:v>1.4337194995101665</c:v>
                </c:pt>
                <c:pt idx="97">
                  <c:v>1.4599159473346448</c:v>
                </c:pt>
                <c:pt idx="98">
                  <c:v>1.486327817636101</c:v>
                </c:pt>
                <c:pt idx="99">
                  <c:v>1.5129545967097777</c:v>
                </c:pt>
                <c:pt idx="100">
                  <c:v>1.5397957708509171</c:v>
                </c:pt>
                <c:pt idx="101">
                  <c:v>1.5668508263547618</c:v>
                </c:pt>
                <c:pt idx="102">
                  <c:v>1.5941192495165535</c:v>
                </c:pt>
                <c:pt idx="103">
                  <c:v>1.621600526631535</c:v>
                </c:pt>
                <c:pt idx="104">
                  <c:v>1.6492941439949482</c:v>
                </c:pt>
                <c:pt idx="105">
                  <c:v>1.6771995879020356</c:v>
                </c:pt>
                <c:pt idx="106">
                  <c:v>1.7053163446480393</c:v>
                </c:pt>
                <c:pt idx="107">
                  <c:v>1.7336439005282021</c:v>
                </c:pt>
                <c:pt idx="108">
                  <c:v>1.7621817418377659</c:v>
                </c:pt>
                <c:pt idx="109">
                  <c:v>1.7909293548719727</c:v>
                </c:pt>
                <c:pt idx="110">
                  <c:v>1.8198862259260653</c:v>
                </c:pt>
                <c:pt idx="111">
                  <c:v>1.8490518412952857</c:v>
                </c:pt>
                <c:pt idx="112">
                  <c:v>1.8784256872748761</c:v>
                </c:pt>
                <c:pt idx="113">
                  <c:v>1.9080072501600793</c:v>
                </c:pt>
                <c:pt idx="114">
                  <c:v>1.937796016246137</c:v>
                </c:pt>
                <c:pt idx="115">
                  <c:v>1.9677914718282916</c:v>
                </c:pt>
                <c:pt idx="116">
                  <c:v>1.9979931032017859</c:v>
                </c:pt>
                <c:pt idx="117">
                  <c:v>2.0284003966618611</c:v>
                </c:pt>
                <c:pt idx="118">
                  <c:v>2.0590128385037612</c:v>
                </c:pt>
                <c:pt idx="119">
                  <c:v>2.0898299150227264</c:v>
                </c:pt>
                <c:pt idx="120">
                  <c:v>2.1208511125140008</c:v>
                </c:pt>
                <c:pt idx="121">
                  <c:v>2.1520759172728257</c:v>
                </c:pt>
                <c:pt idx="122">
                  <c:v>2.1835038155944435</c:v>
                </c:pt>
                <c:pt idx="123">
                  <c:v>2.2151342937740965</c:v>
                </c:pt>
                <c:pt idx="124">
                  <c:v>2.2469668381070278</c:v>
                </c:pt>
                <c:pt idx="125">
                  <c:v>2.2790009348884777</c:v>
                </c:pt>
                <c:pt idx="126">
                  <c:v>2.3112360704136909</c:v>
                </c:pt>
                <c:pt idx="127">
                  <c:v>2.3436717309779076</c:v>
                </c:pt>
                <c:pt idx="128">
                  <c:v>2.376307402876372</c:v>
                </c:pt>
                <c:pt idx="129">
                  <c:v>2.4091425724043249</c:v>
                </c:pt>
                <c:pt idx="130">
                  <c:v>2.4421767258570091</c:v>
                </c:pt>
                <c:pt idx="131">
                  <c:v>2.4754093495296674</c:v>
                </c:pt>
                <c:pt idx="132">
                  <c:v>2.5088399297175403</c:v>
                </c:pt>
                <c:pt idx="133">
                  <c:v>2.5424679527158727</c:v>
                </c:pt>
                <c:pt idx="134">
                  <c:v>2.5762929048199044</c:v>
                </c:pt>
                <c:pt idx="135">
                  <c:v>2.6103142723248798</c:v>
                </c:pt>
                <c:pt idx="136">
                  <c:v>2.6445315415260398</c:v>
                </c:pt>
                <c:pt idx="137">
                  <c:v>2.6789441987186269</c:v>
                </c:pt>
                <c:pt idx="138">
                  <c:v>2.7135517301978842</c:v>
                </c:pt>
                <c:pt idx="139">
                  <c:v>2.7483536222590526</c:v>
                </c:pt>
                <c:pt idx="140">
                  <c:v>2.7833493611973759</c:v>
                </c:pt>
                <c:pt idx="141">
                  <c:v>2.8185384333080949</c:v>
                </c:pt>
                <c:pt idx="142">
                  <c:v>2.8539203248864533</c:v>
                </c:pt>
                <c:pt idx="143">
                  <c:v>2.8894945222276927</c:v>
                </c:pt>
                <c:pt idx="144">
                  <c:v>2.9252605116270547</c:v>
                </c:pt>
                <c:pt idx="145">
                  <c:v>2.9612177793797825</c:v>
                </c:pt>
                <c:pt idx="146">
                  <c:v>2.9973658117811182</c:v>
                </c:pt>
                <c:pt idx="147">
                  <c:v>3.0337040951263043</c:v>
                </c:pt>
                <c:pt idx="148">
                  <c:v>3.0702321157105827</c:v>
                </c:pt>
                <c:pt idx="149">
                  <c:v>3.1069493598291955</c:v>
                </c:pt>
                <c:pt idx="150">
                  <c:v>3.1438553137773853</c:v>
                </c:pt>
                <c:pt idx="151">
                  <c:v>3.180949463850395</c:v>
                </c:pt>
                <c:pt idx="152">
                  <c:v>3.2182312963434661</c:v>
                </c:pt>
                <c:pt idx="153">
                  <c:v>3.255700297551841</c:v>
                </c:pt>
                <c:pt idx="154">
                  <c:v>3.2933559537707615</c:v>
                </c:pt>
                <c:pt idx="155">
                  <c:v>3.3311977512954707</c:v>
                </c:pt>
                <c:pt idx="156">
                  <c:v>3.3692251764212111</c:v>
                </c:pt>
                <c:pt idx="157">
                  <c:v>3.407437715443224</c:v>
                </c:pt>
                <c:pt idx="158">
                  <c:v>3.4458348546567521</c:v>
                </c:pt>
                <c:pt idx="159">
                  <c:v>3.4844160803570383</c:v>
                </c:pt>
                <c:pt idx="160">
                  <c:v>3.523180878839324</c:v>
                </c:pt>
                <c:pt idx="161">
                  <c:v>3.5621287363988525</c:v>
                </c:pt>
                <c:pt idx="162">
                  <c:v>3.6012591393308648</c:v>
                </c:pt>
                <c:pt idx="163">
                  <c:v>3.640571573930603</c:v>
                </c:pt>
                <c:pt idx="164">
                  <c:v>3.6800655264933115</c:v>
                </c:pt>
                <c:pt idx="165">
                  <c:v>3.7197404833142311</c:v>
                </c:pt>
                <c:pt idx="166">
                  <c:v>3.759595930688604</c:v>
                </c:pt>
                <c:pt idx="167">
                  <c:v>3.7996313549116727</c:v>
                </c:pt>
                <c:pt idx="168">
                  <c:v>3.8398462422786794</c:v>
                </c:pt>
                <c:pt idx="169">
                  <c:v>3.8802400790848668</c:v>
                </c:pt>
                <c:pt idx="170">
                  <c:v>3.920812351625476</c:v>
                </c:pt>
                <c:pt idx="171">
                  <c:v>3.9615625461957515</c:v>
                </c:pt>
                <c:pt idx="172">
                  <c:v>4.0024901490909341</c:v>
                </c:pt>
                <c:pt idx="173">
                  <c:v>4.043594646606266</c:v>
                </c:pt>
                <c:pt idx="174">
                  <c:v>4.0848755250369901</c:v>
                </c:pt>
                <c:pt idx="175">
                  <c:v>4.1263322706783478</c:v>
                </c:pt>
                <c:pt idx="176">
                  <c:v>4.1679643698255822</c:v>
                </c:pt>
                <c:pt idx="177">
                  <c:v>4.2097713087739344</c:v>
                </c:pt>
                <c:pt idx="178">
                  <c:v>4.2517525738186484</c:v>
                </c:pt>
                <c:pt idx="179">
                  <c:v>4.2939076512549654</c:v>
                </c:pt>
                <c:pt idx="180">
                  <c:v>4.3362360273781286</c:v>
                </c:pt>
                <c:pt idx="181">
                  <c:v>4.3787371884833783</c:v>
                </c:pt>
                <c:pt idx="182">
                  <c:v>4.4214106208659594</c:v>
                </c:pt>
                <c:pt idx="183">
                  <c:v>4.4642558108211121</c:v>
                </c:pt>
                <c:pt idx="184">
                  <c:v>4.5072722446440814</c:v>
                </c:pt>
                <c:pt idx="185">
                  <c:v>4.5504594086301067</c:v>
                </c:pt>
                <c:pt idx="186">
                  <c:v>4.5938167890744301</c:v>
                </c:pt>
                <c:pt idx="187">
                  <c:v>4.6373438722722948</c:v>
                </c:pt>
                <c:pt idx="188">
                  <c:v>4.6810401445189438</c:v>
                </c:pt>
                <c:pt idx="189">
                  <c:v>4.724905092109621</c:v>
                </c:pt>
                <c:pt idx="190">
                  <c:v>4.7689382013395649</c:v>
                </c:pt>
                <c:pt idx="191">
                  <c:v>4.8131389585040196</c:v>
                </c:pt>
                <c:pt idx="192">
                  <c:v>4.8575068498982272</c:v>
                </c:pt>
                <c:pt idx="193">
                  <c:v>4.9020413618174299</c:v>
                </c:pt>
                <c:pt idx="194">
                  <c:v>4.9467419805568706</c:v>
                </c:pt>
                <c:pt idx="195">
                  <c:v>4.9916081924117917</c:v>
                </c:pt>
                <c:pt idx="196">
                  <c:v>5.0366394836774333</c:v>
                </c:pt>
                <c:pt idx="197">
                  <c:v>5.0818353406490404</c:v>
                </c:pt>
                <c:pt idx="198">
                  <c:v>5.1271952496218534</c:v>
                </c:pt>
                <c:pt idx="199">
                  <c:v>5.1727186968911161</c:v>
                </c:pt>
                <c:pt idx="200">
                  <c:v>5.2184051687520707</c:v>
                </c:pt>
                <c:pt idx="201">
                  <c:v>5.2642541514999577</c:v>
                </c:pt>
                <c:pt idx="202">
                  <c:v>5.3102651314300209</c:v>
                </c:pt>
                <c:pt idx="203">
                  <c:v>5.3564375948375025</c:v>
                </c:pt>
                <c:pt idx="204">
                  <c:v>5.4027710280176438</c:v>
                </c:pt>
                <c:pt idx="205">
                  <c:v>5.4492649172656877</c:v>
                </c:pt>
                <c:pt idx="206">
                  <c:v>5.4959187488768766</c:v>
                </c:pt>
                <c:pt idx="207">
                  <c:v>5.5427320091464551</c:v>
                </c:pt>
                <c:pt idx="208">
                  <c:v>5.5897041843696602</c:v>
                </c:pt>
                <c:pt idx="209">
                  <c:v>5.6368347608417384</c:v>
                </c:pt>
                <c:pt idx="210">
                  <c:v>5.684123224857931</c:v>
                </c:pt>
                <c:pt idx="211">
                  <c:v>5.7315690627134783</c:v>
                </c:pt>
                <c:pt idx="212">
                  <c:v>5.7791717607036261</c:v>
                </c:pt>
                <c:pt idx="213">
                  <c:v>5.8269308051236148</c:v>
                </c:pt>
                <c:pt idx="214">
                  <c:v>5.8748456822686865</c:v>
                </c:pt>
                <c:pt idx="215">
                  <c:v>5.9229158784340843</c:v>
                </c:pt>
                <c:pt idx="216">
                  <c:v>5.9711408799150476</c:v>
                </c:pt>
                <c:pt idx="217">
                  <c:v>6.0195201730068231</c:v>
                </c:pt>
                <c:pt idx="218">
                  <c:v>6.0680532440046502</c:v>
                </c:pt>
                <c:pt idx="219">
                  <c:v>6.116739579203772</c:v>
                </c:pt>
                <c:pt idx="220">
                  <c:v>6.1655786648994315</c:v>
                </c:pt>
                <c:pt idx="221">
                  <c:v>6.2145699873868701</c:v>
                </c:pt>
                <c:pt idx="222">
                  <c:v>6.2637130329613298</c:v>
                </c:pt>
                <c:pt idx="223">
                  <c:v>6.3130072879180537</c:v>
                </c:pt>
                <c:pt idx="224">
                  <c:v>6.3624522385522821</c:v>
                </c:pt>
                <c:pt idx="225">
                  <c:v>6.4120473711592618</c:v>
                </c:pt>
                <c:pt idx="226">
                  <c:v>6.4617921720342295</c:v>
                </c:pt>
                <c:pt idx="227">
                  <c:v>6.5116861274724327</c:v>
                </c:pt>
                <c:pt idx="228">
                  <c:v>6.5617287237691082</c:v>
                </c:pt>
                <c:pt idx="229">
                  <c:v>6.6119194472195026</c:v>
                </c:pt>
                <c:pt idx="230">
                  <c:v>6.6622577841188573</c:v>
                </c:pt>
                <c:pt idx="231">
                  <c:v>6.7127432207624143</c:v>
                </c:pt>
                <c:pt idx="232">
                  <c:v>6.763375243445414</c:v>
                </c:pt>
                <c:pt idx="233">
                  <c:v>6.8141533384631012</c:v>
                </c:pt>
                <c:pt idx="234">
                  <c:v>6.8650769921107182</c:v>
                </c:pt>
                <c:pt idx="235">
                  <c:v>6.916145690683507</c:v>
                </c:pt>
                <c:pt idx="236">
                  <c:v>6.9673589204767081</c:v>
                </c:pt>
                <c:pt idx="237">
                  <c:v>7.0187161677855645</c:v>
                </c:pt>
                <c:pt idx="238">
                  <c:v>7.070216918905321</c:v>
                </c:pt>
                <c:pt idx="239">
                  <c:v>7.1218606601312153</c:v>
                </c:pt>
                <c:pt idx="240">
                  <c:v>7.173646877758495</c:v>
                </c:pt>
                <c:pt idx="241">
                  <c:v>7.2255750580823985</c:v>
                </c:pt>
                <c:pt idx="242">
                  <c:v>7.2776446873981682</c:v>
                </c:pt>
                <c:pt idx="243">
                  <c:v>7.3298552520010487</c:v>
                </c:pt>
                <c:pt idx="244">
                  <c:v>7.3822062381862796</c:v>
                </c:pt>
                <c:pt idx="245">
                  <c:v>7.4346971322491058</c:v>
                </c:pt>
                <c:pt idx="246">
                  <c:v>7.4873274204847666</c:v>
                </c:pt>
                <c:pt idx="247">
                  <c:v>7.5400965891885097</c:v>
                </c:pt>
                <c:pt idx="248">
                  <c:v>7.59300412465557</c:v>
                </c:pt>
                <c:pt idx="249">
                  <c:v>7.6460495131811967</c:v>
                </c:pt>
                <c:pt idx="250">
                  <c:v>7.6992322410606242</c:v>
                </c:pt>
                <c:pt idx="251">
                  <c:v>7.7525517945891051</c:v>
                </c:pt>
                <c:pt idx="252">
                  <c:v>7.8060076600618729</c:v>
                </c:pt>
                <c:pt idx="253">
                  <c:v>7.8595993237741739</c:v>
                </c:pt>
                <c:pt idx="254">
                  <c:v>7.9133262720212478</c:v>
                </c:pt>
                <c:pt idx="255">
                  <c:v>7.9671879910983421</c:v>
                </c:pt>
                <c:pt idx="256">
                  <c:v>8.0211839673006935</c:v>
                </c:pt>
                <c:pt idx="257">
                  <c:v>8.0753136869235487</c:v>
                </c:pt>
                <c:pt idx="258">
                  <c:v>8.1295766362621453</c:v>
                </c:pt>
                <c:pt idx="259">
                  <c:v>8.1839723016117283</c:v>
                </c:pt>
                <c:pt idx="260">
                  <c:v>8.2385001692675388</c:v>
                </c:pt>
                <c:pt idx="261">
                  <c:v>8.2931597255248235</c:v>
                </c:pt>
                <c:pt idx="262">
                  <c:v>8.3479504566788165</c:v>
                </c:pt>
                <c:pt idx="263">
                  <c:v>8.402871849024768</c:v>
                </c:pt>
                <c:pt idx="264">
                  <c:v>8.4579233888579139</c:v>
                </c:pt>
                <c:pt idx="265">
                  <c:v>8.5131045624735027</c:v>
                </c:pt>
                <c:pt idx="266">
                  <c:v>8.5684148561667719</c:v>
                </c:pt>
                <c:pt idx="267">
                  <c:v>8.6238537562329682</c:v>
                </c:pt>
                <c:pt idx="268">
                  <c:v>8.6794207489673276</c:v>
                </c:pt>
                <c:pt idx="269">
                  <c:v>8.7351153206650984</c:v>
                </c:pt>
                <c:pt idx="270">
                  <c:v>8.7909369576215184</c:v>
                </c:pt>
                <c:pt idx="271">
                  <c:v>8.8468851461318359</c:v>
                </c:pt>
                <c:pt idx="272">
                  <c:v>8.902959372491285</c:v>
                </c:pt>
                <c:pt idx="273">
                  <c:v>8.9591591229951142</c:v>
                </c:pt>
                <c:pt idx="274">
                  <c:v>9.0154838839385611</c:v>
                </c:pt>
                <c:pt idx="275">
                  <c:v>9.071933141616876</c:v>
                </c:pt>
                <c:pt idx="276">
                  <c:v>9.1285063823252894</c:v>
                </c:pt>
                <c:pt idx="277">
                  <c:v>9.1852030923590533</c:v>
                </c:pt>
                <c:pt idx="278">
                  <c:v>9.2420227580134053</c:v>
                </c:pt>
                <c:pt idx="279">
                  <c:v>9.2989648655835939</c:v>
                </c:pt>
                <c:pt idx="280">
                  <c:v>9.3560289013648497</c:v>
                </c:pt>
                <c:pt idx="281">
                  <c:v>9.4132143516524263</c:v>
                </c:pt>
                <c:pt idx="282">
                  <c:v>9.4705207027415597</c:v>
                </c:pt>
                <c:pt idx="283">
                  <c:v>9.5279474409274965</c:v>
                </c:pt>
                <c:pt idx="284">
                  <c:v>9.5854940525054744</c:v>
                </c:pt>
                <c:pt idx="285">
                  <c:v>9.64316002377074</c:v>
                </c:pt>
                <c:pt idx="286">
                  <c:v>9.7009448410185293</c:v>
                </c:pt>
                <c:pt idx="287">
                  <c:v>9.7588479905440906</c:v>
                </c:pt>
                <c:pt idx="288">
                  <c:v>9.8168689586426652</c:v>
                </c:pt>
                <c:pt idx="289">
                  <c:v>9.8750072316094961</c:v>
                </c:pt>
                <c:pt idx="290">
                  <c:v>9.9332622957398193</c:v>
                </c:pt>
                <c:pt idx="291">
                  <c:v>9.991633637328885</c:v>
                </c:pt>
                <c:pt idx="292">
                  <c:v>10.050120742671931</c:v>
                </c:pt>
                <c:pt idx="293">
                  <c:v>10.108723098064203</c:v>
                </c:pt>
                <c:pt idx="294">
                  <c:v>10.167440189800937</c:v>
                </c:pt>
                <c:pt idx="295">
                  <c:v>10.226271504177383</c:v>
                </c:pt>
                <c:pt idx="296">
                  <c:v>10.285216527488776</c:v>
                </c:pt>
                <c:pt idx="297">
                  <c:v>10.344274746030367</c:v>
                </c:pt>
                <c:pt idx="298">
                  <c:v>10.403445646097389</c:v>
                </c:pt>
                <c:pt idx="299">
                  <c:v>10.46272871398509</c:v>
                </c:pt>
                <c:pt idx="300">
                  <c:v>10.522123435988709</c:v>
                </c:pt>
                <c:pt idx="301">
                  <c:v>10.581629298403493</c:v>
                </c:pt>
                <c:pt idx="302">
                  <c:v>10.641245787524682</c:v>
                </c:pt>
                <c:pt idx="303">
                  <c:v>10.700972389647516</c:v>
                </c:pt>
                <c:pt idx="304">
                  <c:v>10.760808591067239</c:v>
                </c:pt>
                <c:pt idx="305">
                  <c:v>10.82075387807909</c:v>
                </c:pt>
                <c:pt idx="306">
                  <c:v>10.880807736978319</c:v>
                </c:pt>
                <c:pt idx="307">
                  <c:v>10.940969654060162</c:v>
                </c:pt>
                <c:pt idx="308">
                  <c:v>11.00123911561986</c:v>
                </c:pt>
                <c:pt idx="309">
                  <c:v>11.061615607952664</c:v>
                </c:pt>
                <c:pt idx="310">
                  <c:v>11.122098617353808</c:v>
                </c:pt>
                <c:pt idx="311">
                  <c:v>11.182687630118538</c:v>
                </c:pt>
                <c:pt idx="312">
                  <c:v>11.243382132542093</c:v>
                </c:pt>
                <c:pt idx="313">
                  <c:v>11.304181610919724</c:v>
                </c:pt>
                <c:pt idx="314">
                  <c:v>11.365085551546656</c:v>
                </c:pt>
                <c:pt idx="315">
                  <c:v>11.426093440718152</c:v>
                </c:pt>
                <c:pt idx="316">
                  <c:v>11.487204764729437</c:v>
                </c:pt>
                <c:pt idx="317">
                  <c:v>11.548419009875765</c:v>
                </c:pt>
                <c:pt idx="318">
                  <c:v>11.609735662452373</c:v>
                </c:pt>
                <c:pt idx="319">
                  <c:v>11.671154208754503</c:v>
                </c:pt>
                <c:pt idx="320">
                  <c:v>11.732674135077399</c:v>
                </c:pt>
                <c:pt idx="321">
                  <c:v>11.794294927716304</c:v>
                </c:pt>
                <c:pt idx="322">
                  <c:v>11.856016072966458</c:v>
                </c:pt>
                <c:pt idx="323">
                  <c:v>11.917837057123107</c:v>
                </c:pt>
                <c:pt idx="324">
                  <c:v>11.979757366481488</c:v>
                </c:pt>
                <c:pt idx="325">
                  <c:v>12.041776487336845</c:v>
                </c:pt>
                <c:pt idx="326">
                  <c:v>12.103893905984421</c:v>
                </c:pt>
                <c:pt idx="327">
                  <c:v>12.166109108719461</c:v>
                </c:pt>
                <c:pt idx="328">
                  <c:v>12.228421581837202</c:v>
                </c:pt>
                <c:pt idx="329">
                  <c:v>12.290830811632892</c:v>
                </c:pt>
                <c:pt idx="330">
                  <c:v>12.353336284401768</c:v>
                </c:pt>
                <c:pt idx="331">
                  <c:v>12.415937486439079</c:v>
                </c:pt>
                <c:pt idx="332">
                  <c:v>12.478633904040056</c:v>
                </c:pt>
                <c:pt idx="333">
                  <c:v>12.541425023499952</c:v>
                </c:pt>
                <c:pt idx="334">
                  <c:v>12.604310331114005</c:v>
                </c:pt>
                <c:pt idx="335">
                  <c:v>12.667289313177459</c:v>
                </c:pt>
                <c:pt idx="336">
                  <c:v>12.730361455985552</c:v>
                </c:pt>
                <c:pt idx="337">
                  <c:v>12.793526245833533</c:v>
                </c:pt>
                <c:pt idx="338">
                  <c:v>12.856783169016639</c:v>
                </c:pt>
                <c:pt idx="339">
                  <c:v>12.920131711830114</c:v>
                </c:pt>
                <c:pt idx="340">
                  <c:v>12.983571360569199</c:v>
                </c:pt>
                <c:pt idx="341">
                  <c:v>13.047101601529143</c:v>
                </c:pt>
                <c:pt idx="342">
                  <c:v>13.110721921005174</c:v>
                </c:pt>
                <c:pt idx="343">
                  <c:v>13.174431805292551</c:v>
                </c:pt>
                <c:pt idx="344">
                  <c:v>13.238230740686502</c:v>
                </c:pt>
                <c:pt idx="345">
                  <c:v>13.302118213482281</c:v>
                </c:pt>
                <c:pt idx="346">
                  <c:v>13.36609370997512</c:v>
                </c:pt>
                <c:pt idx="347">
                  <c:v>13.430156716460271</c:v>
                </c:pt>
                <c:pt idx="348">
                  <c:v>13.494306719232966</c:v>
                </c:pt>
                <c:pt idx="349">
                  <c:v>13.558543204588457</c:v>
                </c:pt>
                <c:pt idx="350">
                  <c:v>13.622865658821979</c:v>
                </c:pt>
                <c:pt idx="351">
                  <c:v>13.687273568228782</c:v>
                </c:pt>
                <c:pt idx="352">
                  <c:v>13.751766419104101</c:v>
                </c:pt>
                <c:pt idx="353">
                  <c:v>13.81634369774318</c:v>
                </c:pt>
                <c:pt idx="354">
                  <c:v>13.881004890441259</c:v>
                </c:pt>
                <c:pt idx="355">
                  <c:v>13.945749483493593</c:v>
                </c:pt>
                <c:pt idx="356">
                  <c:v>14.010576963195403</c:v>
                </c:pt>
                <c:pt idx="357">
                  <c:v>14.075486815841952</c:v>
                </c:pt>
                <c:pt idx="358">
                  <c:v>14.140478527728472</c:v>
                </c:pt>
                <c:pt idx="359">
                  <c:v>14.205551585150204</c:v>
                </c:pt>
                <c:pt idx="360">
                  <c:v>14.270705474402394</c:v>
                </c:pt>
                <c:pt idx="361">
                  <c:v>14.335939681780285</c:v>
                </c:pt>
                <c:pt idx="362">
                  <c:v>14.401253693579111</c:v>
                </c:pt>
                <c:pt idx="363">
                  <c:v>14.466646996094131</c:v>
                </c:pt>
                <c:pt idx="364">
                  <c:v>14.532119075620569</c:v>
                </c:pt>
                <c:pt idx="365">
                  <c:v>14.59766941845368</c:v>
                </c:pt>
                <c:pt idx="366">
                  <c:v>14.663297510888697</c:v>
                </c:pt>
                <c:pt idx="367">
                  <c:v>14.729002839220872</c:v>
                </c:pt>
                <c:pt idx="368">
                  <c:v>14.794784889745438</c:v>
                </c:pt>
                <c:pt idx="369">
                  <c:v>14.860643148757642</c:v>
                </c:pt>
                <c:pt idx="370">
                  <c:v>14.926577102552729</c:v>
                </c:pt>
                <c:pt idx="371">
                  <c:v>14.992586237425936</c:v>
                </c:pt>
                <c:pt idx="372">
                  <c:v>15.058670039672505</c:v>
                </c:pt>
                <c:pt idx="373">
                  <c:v>15.124827995587685</c:v>
                </c:pt>
                <c:pt idx="374">
                  <c:v>15.191059591466708</c:v>
                </c:pt>
                <c:pt idx="375">
                  <c:v>15.257364313604832</c:v>
                </c:pt>
                <c:pt idx="376">
                  <c:v>15.323741648297275</c:v>
                </c:pt>
                <c:pt idx="377">
                  <c:v>15.390191081839307</c:v>
                </c:pt>
                <c:pt idx="378">
                  <c:v>15.456712100526151</c:v>
                </c:pt>
                <c:pt idx="379">
                  <c:v>15.523304190653057</c:v>
                </c:pt>
                <c:pt idx="380">
                  <c:v>15.589966838515265</c:v>
                </c:pt>
                <c:pt idx="381">
                  <c:v>15.656699530408016</c:v>
                </c:pt>
                <c:pt idx="382">
                  <c:v>15.723501752626557</c:v>
                </c:pt>
                <c:pt idx="383">
                  <c:v>15.790372991466127</c:v>
                </c:pt>
                <c:pt idx="384">
                  <c:v>15.857312733221967</c:v>
                </c:pt>
                <c:pt idx="385">
                  <c:v>15.924320464189325</c:v>
                </c:pt>
                <c:pt idx="386">
                  <c:v>15.991395670663431</c:v>
                </c:pt>
                <c:pt idx="387">
                  <c:v>16.05853783893955</c:v>
                </c:pt>
                <c:pt idx="388">
                  <c:v>16.125746455312896</c:v>
                </c:pt>
                <c:pt idx="389">
                  <c:v>16.193021006078734</c:v>
                </c:pt>
                <c:pt idx="390">
                  <c:v>16.260360977532294</c:v>
                </c:pt>
                <c:pt idx="391">
                  <c:v>16.327765855968824</c:v>
                </c:pt>
                <c:pt idx="392">
                  <c:v>16.395235127683556</c:v>
                </c:pt>
                <c:pt idx="393">
                  <c:v>16.462768278971748</c:v>
                </c:pt>
                <c:pt idx="394">
                  <c:v>16.53036479612863</c:v>
                </c:pt>
                <c:pt idx="395">
                  <c:v>16.598024165449456</c:v>
                </c:pt>
                <c:pt idx="396">
                  <c:v>16.665745873229451</c:v>
                </c:pt>
                <c:pt idx="397">
                  <c:v>16.733529405763878</c:v>
                </c:pt>
                <c:pt idx="398">
                  <c:v>16.801374249347958</c:v>
                </c:pt>
                <c:pt idx="399">
                  <c:v>16.869279890276953</c:v>
                </c:pt>
                <c:pt idx="400">
                  <c:v>16.937245814846094</c:v>
                </c:pt>
                <c:pt idx="401">
                  <c:v>17.005271509350624</c:v>
                </c:pt>
                <c:pt idx="402">
                  <c:v>17.073356460085783</c:v>
                </c:pt>
                <c:pt idx="403">
                  <c:v>17.141500153346826</c:v>
                </c:pt>
                <c:pt idx="404">
                  <c:v>17.209702075428979</c:v>
                </c:pt>
                <c:pt idx="405">
                  <c:v>17.277961712627501</c:v>
                </c:pt>
                <c:pt idx="406">
                  <c:v>17.346278551237614</c:v>
                </c:pt>
                <c:pt idx="407">
                  <c:v>17.414652077554578</c:v>
                </c:pt>
                <c:pt idx="408">
                  <c:v>17.483081777873629</c:v>
                </c:pt>
                <c:pt idx="409">
                  <c:v>17.551567138490007</c:v>
                </c:pt>
                <c:pt idx="410">
                  <c:v>17.620107645698951</c:v>
                </c:pt>
                <c:pt idx="411">
                  <c:v>17.688702785795716</c:v>
                </c:pt>
                <c:pt idx="412">
                  <c:v>17.757352045075532</c:v>
                </c:pt>
                <c:pt idx="413">
                  <c:v>17.826054909833651</c:v>
                </c:pt>
                <c:pt idx="414">
                  <c:v>17.894810866365304</c:v>
                </c:pt>
                <c:pt idx="415">
                  <c:v>17.963619400965747</c:v>
                </c:pt>
                <c:pt idx="416">
                  <c:v>18.032479999930207</c:v>
                </c:pt>
                <c:pt idx="417">
                  <c:v>18.101392149553945</c:v>
                </c:pt>
                <c:pt idx="418">
                  <c:v>18.170355336132182</c:v>
                </c:pt>
                <c:pt idx="419">
                  <c:v>18.239369045960174</c:v>
                </c:pt>
                <c:pt idx="420">
                  <c:v>18.308432765333158</c:v>
                </c:pt>
                <c:pt idx="421">
                  <c:v>18.377545980546383</c:v>
                </c:pt>
                <c:pt idx="422">
                  <c:v>18.446708177895083</c:v>
                </c:pt>
                <c:pt idx="423">
                  <c:v>18.515918843674505</c:v>
                </c:pt>
                <c:pt idx="424">
                  <c:v>18.585177464179889</c:v>
                </c:pt>
                <c:pt idx="425">
                  <c:v>18.654483525706482</c:v>
                </c:pt>
                <c:pt idx="426">
                  <c:v>18.723836514549518</c:v>
                </c:pt>
                <c:pt idx="427">
                  <c:v>18.79323591700425</c:v>
                </c:pt>
                <c:pt idx="428">
                  <c:v>18.862681219365911</c:v>
                </c:pt>
                <c:pt idx="429">
                  <c:v>18.932171907929746</c:v>
                </c:pt>
                <c:pt idx="430">
                  <c:v>19.001707468990997</c:v>
                </c:pt>
                <c:pt idx="431">
                  <c:v>19.071287388844908</c:v>
                </c:pt>
                <c:pt idx="432">
                  <c:v>19.140911153786721</c:v>
                </c:pt>
                <c:pt idx="433">
                  <c:v>19.210578250111677</c:v>
                </c:pt>
                <c:pt idx="434">
                  <c:v>19.280288164115017</c:v>
                </c:pt>
                <c:pt idx="435">
                  <c:v>19.35004038209199</c:v>
                </c:pt>
                <c:pt idx="436">
                  <c:v>19.419834390337829</c:v>
                </c:pt>
                <c:pt idx="437">
                  <c:v>19.489669675147788</c:v>
                </c:pt>
                <c:pt idx="438">
                  <c:v>19.559545722817091</c:v>
                </c:pt>
                <c:pt idx="439">
                  <c:v>19.629462019641</c:v>
                </c:pt>
                <c:pt idx="440">
                  <c:v>19.699418051914748</c:v>
                </c:pt>
                <c:pt idx="441">
                  <c:v>19.769413305933579</c:v>
                </c:pt>
                <c:pt idx="442">
                  <c:v>19.839447267992728</c:v>
                </c:pt>
                <c:pt idx="443">
                  <c:v>19.909519424387454</c:v>
                </c:pt>
                <c:pt idx="444">
                  <c:v>19.979629261412978</c:v>
                </c:pt>
                <c:pt idx="445">
                  <c:v>20.04977626536456</c:v>
                </c:pt>
                <c:pt idx="446">
                  <c:v>20.119959922537429</c:v>
                </c:pt>
                <c:pt idx="447">
                  <c:v>20.19017971922684</c:v>
                </c:pt>
                <c:pt idx="448">
                  <c:v>20.260435141728024</c:v>
                </c:pt>
                <c:pt idx="449">
                  <c:v>20.330725676336236</c:v>
                </c:pt>
                <c:pt idx="450">
                  <c:v>20.4010508093467</c:v>
                </c:pt>
                <c:pt idx="451">
                  <c:v>20.471410027054681</c:v>
                </c:pt>
                <c:pt idx="452">
                  <c:v>20.541802815755396</c:v>
                </c:pt>
                <c:pt idx="453">
                  <c:v>20.612228661744108</c:v>
                </c:pt>
                <c:pt idx="454">
                  <c:v>20.682687051316051</c:v>
                </c:pt>
                <c:pt idx="455">
                  <c:v>20.75317747076647</c:v>
                </c:pt>
                <c:pt idx="456">
                  <c:v>20.823699406390599</c:v>
                </c:pt>
                <c:pt idx="457">
                  <c:v>20.894252344483693</c:v>
                </c:pt>
                <c:pt idx="458">
                  <c:v>20.964835771340983</c:v>
                </c:pt>
                <c:pt idx="459">
                  <c:v>21.035449173257724</c:v>
                </c:pt>
                <c:pt idx="460">
                  <c:v>21.106092036529141</c:v>
                </c:pt>
                <c:pt idx="461">
                  <c:v>21.176763847450491</c:v>
                </c:pt>
                <c:pt idx="462">
                  <c:v>21.247464092317006</c:v>
                </c:pt>
                <c:pt idx="463">
                  <c:v>21.318192257423942</c:v>
                </c:pt>
                <c:pt idx="464">
                  <c:v>21.388947829066524</c:v>
                </c:pt>
                <c:pt idx="465">
                  <c:v>21.459730293540009</c:v>
                </c:pt>
                <c:pt idx="466">
                  <c:v>21.530539137139627</c:v>
                </c:pt>
                <c:pt idx="467">
                  <c:v>21.601373846160634</c:v>
                </c:pt>
                <c:pt idx="468">
                  <c:v>21.672233906898256</c:v>
                </c:pt>
                <c:pt idx="469">
                  <c:v>21.743118805647754</c:v>
                </c:pt>
                <c:pt idx="470">
                  <c:v>21.81402802870435</c:v>
                </c:pt>
                <c:pt idx="471">
                  <c:v>21.884961062363306</c:v>
                </c:pt>
                <c:pt idx="472">
                  <c:v>21.955917392919847</c:v>
                </c:pt>
                <c:pt idx="473">
                  <c:v>22.026896506669232</c:v>
                </c:pt>
                <c:pt idx="474">
                  <c:v>22.097897889906683</c:v>
                </c:pt>
                <c:pt idx="475">
                  <c:v>22.168921028927461</c:v>
                </c:pt>
                <c:pt idx="476">
                  <c:v>22.239965410026798</c:v>
                </c:pt>
                <c:pt idx="477">
                  <c:v>22.311030519499944</c:v>
                </c:pt>
                <c:pt idx="478">
                  <c:v>22.382115843642133</c:v>
                </c:pt>
                <c:pt idx="479">
                  <c:v>22.453220868748613</c:v>
                </c:pt>
                <c:pt idx="480">
                  <c:v>22.524345081114618</c:v>
                </c:pt>
                <c:pt idx="481">
                  <c:v>22.5954879670354</c:v>
                </c:pt>
                <c:pt idx="482">
                  <c:v>22.6666490128062</c:v>
                </c:pt>
                <c:pt idx="483">
                  <c:v>22.737827704722257</c:v>
                </c:pt>
                <c:pt idx="484">
                  <c:v>22.809023529078811</c:v>
                </c:pt>
                <c:pt idx="485">
                  <c:v>22.880235972171114</c:v>
                </c:pt>
                <c:pt idx="486">
                  <c:v>22.951464520294397</c:v>
                </c:pt>
                <c:pt idx="487">
                  <c:v>23.022708659743913</c:v>
                </c:pt>
                <c:pt idx="488">
                  <c:v>23.093967876814887</c:v>
                </c:pt>
                <c:pt idx="489">
                  <c:v>23.165241657802579</c:v>
                </c:pt>
                <c:pt idx="490">
                  <c:v>23.236529489002226</c:v>
                </c:pt>
                <c:pt idx="491">
                  <c:v>23.307830856709074</c:v>
                </c:pt>
                <c:pt idx="492">
                  <c:v>23.379145247218354</c:v>
                </c:pt>
                <c:pt idx="493">
                  <c:v>23.450472146825316</c:v>
                </c:pt>
                <c:pt idx="494">
                  <c:v>23.521811041825202</c:v>
                </c:pt>
                <c:pt idx="495">
                  <c:v>23.593161418513255</c:v>
                </c:pt>
                <c:pt idx="496">
                  <c:v>23.66452276318471</c:v>
                </c:pt>
                <c:pt idx="497">
                  <c:v>23.735894562134824</c:v>
                </c:pt>
                <c:pt idx="498">
                  <c:v>23.807276301658813</c:v>
                </c:pt>
                <c:pt idx="499">
                  <c:v>23.878667468051955</c:v>
                </c:pt>
                <c:pt idx="500">
                  <c:v>23.950067547609464</c:v>
                </c:pt>
                <c:pt idx="501">
                  <c:v>24.021476026626591</c:v>
                </c:pt>
                <c:pt idx="502">
                  <c:v>24.092892391398589</c:v>
                </c:pt>
                <c:pt idx="503">
                  <c:v>24.164316128220676</c:v>
                </c:pt>
                <c:pt idx="504">
                  <c:v>24.235746723388125</c:v>
                </c:pt>
                <c:pt idx="505">
                  <c:v>24.307183663196156</c:v>
                </c:pt>
                <c:pt idx="506">
                  <c:v>24.37862643394001</c:v>
                </c:pt>
                <c:pt idx="507">
                  <c:v>24.450074521914949</c:v>
                </c:pt>
                <c:pt idx="508">
                  <c:v>24.521527413416194</c:v>
                </c:pt>
                <c:pt idx="509">
                  <c:v>24.592984594739001</c:v>
                </c:pt>
                <c:pt idx="510">
                  <c:v>24.664445552178606</c:v>
                </c:pt>
                <c:pt idx="511">
                  <c:v>24.735909772030254</c:v>
                </c:pt>
                <c:pt idx="512">
                  <c:v>24.807376740589195</c:v>
                </c:pt>
                <c:pt idx="513">
                  <c:v>24.878845944150655</c:v>
                </c:pt>
                <c:pt idx="514">
                  <c:v>24.950316869009882</c:v>
                </c:pt>
                <c:pt idx="515">
                  <c:v>25.021789001462118</c:v>
                </c:pt>
                <c:pt idx="516">
                  <c:v>25.093261827802614</c:v>
                </c:pt>
                <c:pt idx="517">
                  <c:v>25.164734834326598</c:v>
                </c:pt>
                <c:pt idx="518">
                  <c:v>25.236207507329318</c:v>
                </c:pt>
                <c:pt idx="519">
                  <c:v>25.30767933310603</c:v>
                </c:pt>
                <c:pt idx="520">
                  <c:v>25.379149797951957</c:v>
                </c:pt>
                <c:pt idx="521">
                  <c:v>25.450618388162354</c:v>
                </c:pt>
                <c:pt idx="522">
                  <c:v>25.522084590032453</c:v>
                </c:pt>
                <c:pt idx="523">
                  <c:v>25.593547889857501</c:v>
                </c:pt>
                <c:pt idx="524">
                  <c:v>25.665007773932746</c:v>
                </c:pt>
                <c:pt idx="525">
                  <c:v>25.736463728553421</c:v>
                </c:pt>
                <c:pt idx="526">
                  <c:v>25.807915240014772</c:v>
                </c:pt>
                <c:pt idx="527">
                  <c:v>25.879361794612045</c:v>
                </c:pt>
                <c:pt idx="528">
                  <c:v>25.95080287864047</c:v>
                </c:pt>
                <c:pt idx="529">
                  <c:v>26.02223797839531</c:v>
                </c:pt>
                <c:pt idx="530">
                  <c:v>26.093666580171785</c:v>
                </c:pt>
                <c:pt idx="531">
                  <c:v>26.165088170265157</c:v>
                </c:pt>
                <c:pt idx="532">
                  <c:v>26.236502234970651</c:v>
                </c:pt>
                <c:pt idx="533">
                  <c:v>26.30790826058352</c:v>
                </c:pt>
                <c:pt idx="534">
                  <c:v>26.379305733399011</c:v>
                </c:pt>
                <c:pt idx="535">
                  <c:v>26.450694139712347</c:v>
                </c:pt>
                <c:pt idx="536">
                  <c:v>26.522072965818786</c:v>
                </c:pt>
                <c:pt idx="537">
                  <c:v>26.593441698013567</c:v>
                </c:pt>
                <c:pt idx="538">
                  <c:v>26.664799822591934</c:v>
                </c:pt>
                <c:pt idx="539">
                  <c:v>26.736146825849129</c:v>
                </c:pt>
                <c:pt idx="540">
                  <c:v>26.807482194080386</c:v>
                </c:pt>
                <c:pt idx="541">
                  <c:v>26.878805413580956</c:v>
                </c:pt>
                <c:pt idx="542">
                  <c:v>26.950115970646078</c:v>
                </c:pt>
                <c:pt idx="543">
                  <c:v>27.021413351570999</c:v>
                </c:pt>
                <c:pt idx="544">
                  <c:v>27.092697042650954</c:v>
                </c:pt>
                <c:pt idx="545">
                  <c:v>27.163966530181185</c:v>
                </c:pt>
                <c:pt idx="546">
                  <c:v>27.235221300456942</c:v>
                </c:pt>
                <c:pt idx="547">
                  <c:v>27.306460839773464</c:v>
                </c:pt>
                <c:pt idx="548">
                  <c:v>27.377684634425989</c:v>
                </c:pt>
                <c:pt idx="549">
                  <c:v>27.448892170709769</c:v>
                </c:pt>
                <c:pt idx="550">
                  <c:v>27.52008293492004</c:v>
                </c:pt>
                <c:pt idx="551">
                  <c:v>27.591256413352035</c:v>
                </c:pt>
                <c:pt idx="552">
                  <c:v>27.662412092301015</c:v>
                </c:pt>
                <c:pt idx="553">
                  <c:v>27.733549458062214</c:v>
                </c:pt>
                <c:pt idx="554">
                  <c:v>27.80466799693086</c:v>
                </c:pt>
                <c:pt idx="555">
                  <c:v>27.875767195202222</c:v>
                </c:pt>
                <c:pt idx="556">
                  <c:v>27.946846539171517</c:v>
                </c:pt>
                <c:pt idx="557">
                  <c:v>28.017905515134018</c:v>
                </c:pt>
                <c:pt idx="558">
                  <c:v>28.088943609384931</c:v>
                </c:pt>
                <c:pt idx="559">
                  <c:v>28.159960308219524</c:v>
                </c:pt>
                <c:pt idx="560">
                  <c:v>28.230955097933023</c:v>
                </c:pt>
                <c:pt idx="561">
                  <c:v>28.301927464820682</c:v>
                </c:pt>
                <c:pt idx="562">
                  <c:v>28.372876895177747</c:v>
                </c:pt>
                <c:pt idx="563">
                  <c:v>28.443802875299447</c:v>
                </c:pt>
                <c:pt idx="564">
                  <c:v>28.514704891481028</c:v>
                </c:pt>
                <c:pt idx="565">
                  <c:v>28.585582430017737</c:v>
                </c:pt>
                <c:pt idx="566">
                  <c:v>28.65643497720481</c:v>
                </c:pt>
                <c:pt idx="567">
                  <c:v>28.727262019337502</c:v>
                </c:pt>
                <c:pt idx="568">
                  <c:v>28.798063042711039</c:v>
                </c:pt>
                <c:pt idx="569">
                  <c:v>28.86883753362067</c:v>
                </c:pt>
                <c:pt idx="570">
                  <c:v>28.939584978361637</c:v>
                </c:pt>
                <c:pt idx="571">
                  <c:v>29.010304863229191</c:v>
                </c:pt>
                <c:pt idx="572">
                  <c:v>29.080996674518563</c:v>
                </c:pt>
                <c:pt idx="573">
                  <c:v>29.151659898524997</c:v>
                </c:pt>
                <c:pt idx="574">
                  <c:v>29.222294021543732</c:v>
                </c:pt>
                <c:pt idx="575">
                  <c:v>29.292898529870019</c:v>
                </c:pt>
                <c:pt idx="576">
                  <c:v>29.3634729097991</c:v>
                </c:pt>
                <c:pt idx="577">
                  <c:v>29.434016647626216</c:v>
                </c:pt>
                <c:pt idx="578">
                  <c:v>29.5045292296466</c:v>
                </c:pt>
                <c:pt idx="579">
                  <c:v>29.575010142155499</c:v>
                </c:pt>
                <c:pt idx="580">
                  <c:v>29.64545887144817</c:v>
                </c:pt>
                <c:pt idx="581">
                  <c:v>29.715874903819824</c:v>
                </c:pt>
                <c:pt idx="582">
                  <c:v>29.78625772556574</c:v>
                </c:pt>
                <c:pt idx="583">
                  <c:v>29.856606822981139</c:v>
                </c:pt>
                <c:pt idx="584">
                  <c:v>29.926921682361257</c:v>
                </c:pt>
                <c:pt idx="585">
                  <c:v>29.997201790001355</c:v>
                </c:pt>
                <c:pt idx="586">
                  <c:v>30.067446632196663</c:v>
                </c:pt>
                <c:pt idx="587">
                  <c:v>30.137655695242422</c:v>
                </c:pt>
                <c:pt idx="588">
                  <c:v>30.207828465433892</c:v>
                </c:pt>
                <c:pt idx="589">
                  <c:v>30.277964429066291</c:v>
                </c:pt>
                <c:pt idx="590">
                  <c:v>30.348063072434879</c:v>
                </c:pt>
                <c:pt idx="591">
                  <c:v>30.418123881834894</c:v>
                </c:pt>
                <c:pt idx="592">
                  <c:v>30.488146343561571</c:v>
                </c:pt>
                <c:pt idx="593">
                  <c:v>30.558129943910153</c:v>
                </c:pt>
                <c:pt idx="594">
                  <c:v>30.628074169175896</c:v>
                </c:pt>
                <c:pt idx="595">
                  <c:v>30.697978505654024</c:v>
                </c:pt>
                <c:pt idx="596">
                  <c:v>30.767842439639789</c:v>
                </c:pt>
                <c:pt idx="597">
                  <c:v>30.837665457428443</c:v>
                </c:pt>
                <c:pt idx="598">
                  <c:v>30.907447045315209</c:v>
                </c:pt>
                <c:pt idx="599">
                  <c:v>30.977186689595342</c:v>
                </c:pt>
                <c:pt idx="600">
                  <c:v>31.046883876564078</c:v>
                </c:pt>
                <c:pt idx="601">
                  <c:v>31.116538092516663</c:v>
                </c:pt>
                <c:pt idx="602">
                  <c:v>31.186148823748333</c:v>
                </c:pt>
                <c:pt idx="603">
                  <c:v>31.255715556554346</c:v>
                </c:pt>
                <c:pt idx="604">
                  <c:v>31.325237777229926</c:v>
                </c:pt>
                <c:pt idx="605">
                  <c:v>31.394714972070318</c:v>
                </c:pt>
                <c:pt idx="606">
                  <c:v>31.464146627370777</c:v>
                </c:pt>
                <c:pt idx="607">
                  <c:v>31.533532229426534</c:v>
                </c:pt>
                <c:pt idx="608">
                  <c:v>31.602871264532844</c:v>
                </c:pt>
                <c:pt idx="609">
                  <c:v>31.67216321898492</c:v>
                </c:pt>
                <c:pt idx="610">
                  <c:v>31.741407579078043</c:v>
                </c:pt>
                <c:pt idx="611">
                  <c:v>31.810603831107429</c:v>
                </c:pt>
                <c:pt idx="612">
                  <c:v>31.879751461368322</c:v>
                </c:pt>
                <c:pt idx="613">
                  <c:v>31.948849956155982</c:v>
                </c:pt>
                <c:pt idx="614">
                  <c:v>32.017898801765632</c:v>
                </c:pt>
                <c:pt idx="615">
                  <c:v>32.086897484492525</c:v>
                </c:pt>
                <c:pt idx="616">
                  <c:v>32.15584549063189</c:v>
                </c:pt>
                <c:pt idx="617">
                  <c:v>32.224742306478994</c:v>
                </c:pt>
                <c:pt idx="618">
                  <c:v>32.293587418329054</c:v>
                </c:pt>
                <c:pt idx="619">
                  <c:v>32.362380312477327</c:v>
                </c:pt>
                <c:pt idx="620">
                  <c:v>32.431120475219046</c:v>
                </c:pt>
                <c:pt idx="621">
                  <c:v>32.499807392849476</c:v>
                </c:pt>
                <c:pt idx="622">
                  <c:v>32.568440551663826</c:v>
                </c:pt>
                <c:pt idx="623">
                  <c:v>32.637019437957349</c:v>
                </c:pt>
                <c:pt idx="624">
                  <c:v>32.705543538025303</c:v>
                </c:pt>
                <c:pt idx="625">
                  <c:v>32.774012338162919</c:v>
                </c:pt>
                <c:pt idx="626">
                  <c:v>32.842425324665435</c:v>
                </c:pt>
                <c:pt idx="627">
                  <c:v>32.910781983828102</c:v>
                </c:pt>
                <c:pt idx="628">
                  <c:v>32.979081801946151</c:v>
                </c:pt>
                <c:pt idx="629">
                  <c:v>33.047324265314842</c:v>
                </c:pt>
                <c:pt idx="630">
                  <c:v>33.115508860229404</c:v>
                </c:pt>
                <c:pt idx="631">
                  <c:v>33.183635072985076</c:v>
                </c:pt>
                <c:pt idx="632">
                  <c:v>33.25170238987711</c:v>
                </c:pt>
                <c:pt idx="633">
                  <c:v>33.31971029720075</c:v>
                </c:pt>
                <c:pt idx="634">
                  <c:v>33.387658281251227</c:v>
                </c:pt>
                <c:pt idx="635">
                  <c:v>33.455545828323785</c:v>
                </c:pt>
                <c:pt idx="636">
                  <c:v>33.523372424713685</c:v>
                </c:pt>
                <c:pt idx="637">
                  <c:v>33.591137556716141</c:v>
                </c:pt>
                <c:pt idx="638">
                  <c:v>33.658840710626414</c:v>
                </c:pt>
                <c:pt idx="639">
                  <c:v>33.726481372739741</c:v>
                </c:pt>
                <c:pt idx="640">
                  <c:v>33.794059029351367</c:v>
                </c:pt>
                <c:pt idx="641">
                  <c:v>33.861573166756536</c:v>
                </c:pt>
                <c:pt idx="642">
                  <c:v>33.929023271250479</c:v>
                </c:pt>
                <c:pt idx="643">
                  <c:v>33.996408829128448</c:v>
                </c:pt>
                <c:pt idx="644">
                  <c:v>34.063729326685682</c:v>
                </c:pt>
                <c:pt idx="645">
                  <c:v>34.130984250217423</c:v>
                </c:pt>
                <c:pt idx="646">
                  <c:v>34.198173086018919</c:v>
                </c:pt>
                <c:pt idx="647">
                  <c:v>34.265295320385405</c:v>
                </c:pt>
                <c:pt idx="648">
                  <c:v>34.332350439612128</c:v>
                </c:pt>
                <c:pt idx="649">
                  <c:v>34.399337929994324</c:v>
                </c:pt>
                <c:pt idx="650">
                  <c:v>34.466257277827239</c:v>
                </c:pt>
                <c:pt idx="651">
                  <c:v>34.533107969406124</c:v>
                </c:pt>
                <c:pt idx="652">
                  <c:v>34.599889491026204</c:v>
                </c:pt>
                <c:pt idx="653">
                  <c:v>34.666601328982736</c:v>
                </c:pt>
                <c:pt idx="654">
                  <c:v>34.733242969570952</c:v>
                </c:pt>
                <c:pt idx="655">
                  <c:v>34.799813899086111</c:v>
                </c:pt>
                <c:pt idx="656">
                  <c:v>34.866313603823436</c:v>
                </c:pt>
                <c:pt idx="657">
                  <c:v>34.932741570078171</c:v>
                </c:pt>
                <c:pt idx="658">
                  <c:v>34.99909728414557</c:v>
                </c:pt>
                <c:pt idx="659">
                  <c:v>35.065380232320877</c:v>
                </c:pt>
                <c:pt idx="660">
                  <c:v>35.131589900899314</c:v>
                </c:pt>
                <c:pt idx="661">
                  <c:v>35.197725776176128</c:v>
                </c:pt>
                <c:pt idx="662">
                  <c:v>35.263787344446591</c:v>
                </c:pt>
                <c:pt idx="663">
                  <c:v>35.329774092005913</c:v>
                </c:pt>
                <c:pt idx="664">
                  <c:v>35.395685505149345</c:v>
                </c:pt>
                <c:pt idx="665">
                  <c:v>35.461521070172125</c:v>
                </c:pt>
                <c:pt idx="666">
                  <c:v>35.527280273369506</c:v>
                </c:pt>
                <c:pt idx="667">
                  <c:v>35.592962601036731</c:v>
                </c:pt>
                <c:pt idx="668">
                  <c:v>35.658567539469033</c:v>
                </c:pt>
                <c:pt idx="669">
                  <c:v>35.724094574961661</c:v>
                </c:pt>
                <c:pt idx="670">
                  <c:v>35.789543193809848</c:v>
                </c:pt>
                <c:pt idx="671">
                  <c:v>35.854912882308852</c:v>
                </c:pt>
                <c:pt idx="672">
                  <c:v>35.920203126753897</c:v>
                </c:pt>
                <c:pt idx="673">
                  <c:v>35.985413413440241</c:v>
                </c:pt>
                <c:pt idx="674">
                  <c:v>36.050543228663116</c:v>
                </c:pt>
                <c:pt idx="675">
                  <c:v>36.115592058717766</c:v>
                </c:pt>
                <c:pt idx="676">
                  <c:v>36.180559389899443</c:v>
                </c:pt>
                <c:pt idx="677">
                  <c:v>36.245444708503371</c:v>
                </c:pt>
                <c:pt idx="678">
                  <c:v>36.310247500824801</c:v>
                </c:pt>
                <c:pt idx="679">
                  <c:v>36.374967253158985</c:v>
                </c:pt>
                <c:pt idx="680">
                  <c:v>36.439603451801155</c:v>
                </c:pt>
                <c:pt idx="681">
                  <c:v>36.504155583046554</c:v>
                </c:pt>
                <c:pt idx="682">
                  <c:v>36.568623133190428</c:v>
                </c:pt>
                <c:pt idx="683">
                  <c:v>36.633005588528015</c:v>
                </c:pt>
                <c:pt idx="684">
                  <c:v>36.697302435354558</c:v>
                </c:pt>
                <c:pt idx="685">
                  <c:v>36.761513159965304</c:v>
                </c:pt>
                <c:pt idx="686">
                  <c:v>36.825637248655497</c:v>
                </c:pt>
                <c:pt idx="687">
                  <c:v>36.88967418772036</c:v>
                </c:pt>
                <c:pt idx="688">
                  <c:v>36.953623463455159</c:v>
                </c:pt>
                <c:pt idx="689">
                  <c:v>37.017484562155126</c:v>
                </c:pt>
                <c:pt idx="690">
                  <c:v>37.081256970115504</c:v>
                </c:pt>
                <c:pt idx="691">
                  <c:v>37.144940173631539</c:v>
                </c:pt>
                <c:pt idx="692">
                  <c:v>37.208533658998462</c:v>
                </c:pt>
                <c:pt idx="693">
                  <c:v>37.272036912511531</c:v>
                </c:pt>
                <c:pt idx="694">
                  <c:v>37.33544942046597</c:v>
                </c:pt>
                <c:pt idx="695">
                  <c:v>37.398770669157038</c:v>
                </c:pt>
                <c:pt idx="696">
                  <c:v>37.462000144879966</c:v>
                </c:pt>
                <c:pt idx="697">
                  <c:v>37.525137333930005</c:v>
                </c:pt>
                <c:pt idx="698">
                  <c:v>37.5881817226024</c:v>
                </c:pt>
                <c:pt idx="699">
                  <c:v>37.651132797192382</c:v>
                </c:pt>
                <c:pt idx="700">
                  <c:v>37.713990043995196</c:v>
                </c:pt>
                <c:pt idx="701">
                  <c:v>37.776752949306079</c:v>
                </c:pt>
                <c:pt idx="702">
                  <c:v>37.839420999420291</c:v>
                </c:pt>
                <c:pt idx="703">
                  <c:v>37.901993680633055</c:v>
                </c:pt>
                <c:pt idx="704">
                  <c:v>37.96447047923963</c:v>
                </c:pt>
                <c:pt idx="705">
                  <c:v>38.026850881535246</c:v>
                </c:pt>
                <c:pt idx="706">
                  <c:v>38.089134373815149</c:v>
                </c:pt>
                <c:pt idx="707">
                  <c:v>38.151320442374583</c:v>
                </c:pt>
                <c:pt idx="708">
                  <c:v>38.213408573508787</c:v>
                </c:pt>
                <c:pt idx="709">
                  <c:v>38.275398253513004</c:v>
                </c:pt>
                <c:pt idx="710">
                  <c:v>38.337288968682486</c:v>
                </c:pt>
                <c:pt idx="711">
                  <c:v>38.399080205312472</c:v>
                </c:pt>
                <c:pt idx="712">
                  <c:v>38.460771449698186</c:v>
                </c:pt>
                <c:pt idx="713">
                  <c:v>38.522362188134892</c:v>
                </c:pt>
                <c:pt idx="714">
                  <c:v>38.583851906917815</c:v>
                </c:pt>
                <c:pt idx="715">
                  <c:v>38.645240092342206</c:v>
                </c:pt>
                <c:pt idx="716">
                  <c:v>38.706526230703318</c:v>
                </c:pt>
                <c:pt idx="717">
                  <c:v>38.767709808296381</c:v>
                </c:pt>
                <c:pt idx="718">
                  <c:v>38.828790311416633</c:v>
                </c:pt>
                <c:pt idx="719">
                  <c:v>38.889767226359325</c:v>
                </c:pt>
                <c:pt idx="720">
                  <c:v>38.950640039419696</c:v>
                </c:pt>
                <c:pt idx="721">
                  <c:v>39.01140823689299</c:v>
                </c:pt>
                <c:pt idx="722">
                  <c:v>39.072071305074445</c:v>
                </c:pt>
                <c:pt idx="723">
                  <c:v>39.132628730259313</c:v>
                </c:pt>
                <c:pt idx="724">
                  <c:v>39.193079998742817</c:v>
                </c:pt>
                <c:pt idx="725">
                  <c:v>39.253424596820224</c:v>
                </c:pt>
                <c:pt idx="726">
                  <c:v>39.313662010786757</c:v>
                </c:pt>
                <c:pt idx="727">
                  <c:v>39.373791726937668</c:v>
                </c:pt>
                <c:pt idx="728">
                  <c:v>39.433813231568209</c:v>
                </c:pt>
                <c:pt idx="729">
                  <c:v>39.493726010973589</c:v>
                </c:pt>
                <c:pt idx="730">
                  <c:v>39.553529551449088</c:v>
                </c:pt>
                <c:pt idx="731">
                  <c:v>39.613223339289917</c:v>
                </c:pt>
                <c:pt idx="732">
                  <c:v>39.672806860791347</c:v>
                </c:pt>
                <c:pt idx="733">
                  <c:v>39.732279602248596</c:v>
                </c:pt>
                <c:pt idx="734">
                  <c:v>39.791641049956922</c:v>
                </c:pt>
                <c:pt idx="735">
                  <c:v>39.850890690211571</c:v>
                </c:pt>
                <c:pt idx="736">
                  <c:v>39.910028009307766</c:v>
                </c:pt>
                <c:pt idx="737">
                  <c:v>39.969052493540751</c:v>
                </c:pt>
                <c:pt idx="738">
                  <c:v>40.027963629205786</c:v>
                </c:pt>
                <c:pt idx="739">
                  <c:v>40.086760902598108</c:v>
                </c:pt>
                <c:pt idx="740">
                  <c:v>40.145443800012956</c:v>
                </c:pt>
                <c:pt idx="741">
                  <c:v>40.204011807745559</c:v>
                </c:pt>
                <c:pt idx="742">
                  <c:v>40.262464412091177</c:v>
                </c:pt>
                <c:pt idx="743">
                  <c:v>40.320801099345047</c:v>
                </c:pt>
                <c:pt idx="744">
                  <c:v>40.379021355802422</c:v>
                </c:pt>
                <c:pt idx="745">
                  <c:v>40.437124667758511</c:v>
                </c:pt>
                <c:pt idx="746">
                  <c:v>40.495110521508607</c:v>
                </c:pt>
                <c:pt idx="747">
                  <c:v>40.552978403347915</c:v>
                </c:pt>
                <c:pt idx="748">
                  <c:v>40.610727799571677</c:v>
                </c:pt>
                <c:pt idx="749">
                  <c:v>40.668358196475154</c:v>
                </c:pt>
                <c:pt idx="750">
                  <c:v>40.725869080353576</c:v>
                </c:pt>
                <c:pt idx="751">
                  <c:v>40.78325993750218</c:v>
                </c:pt>
                <c:pt idx="752">
                  <c:v>40.840530254216219</c:v>
                </c:pt>
                <c:pt idx="753">
                  <c:v>40.897679516790959</c:v>
                </c:pt>
                <c:pt idx="754">
                  <c:v>40.95470721152158</c:v>
                </c:pt>
                <c:pt idx="755">
                  <c:v>41.011612824703391</c:v>
                </c:pt>
                <c:pt idx="756">
                  <c:v>41.068395842631574</c:v>
                </c:pt>
                <c:pt idx="757">
                  <c:v>41.125055751601423</c:v>
                </c:pt>
                <c:pt idx="758">
                  <c:v>41.181592037908153</c:v>
                </c:pt>
                <c:pt idx="759">
                  <c:v>41.238004187847011</c:v>
                </c:pt>
                <c:pt idx="760">
                  <c:v>41.29429168771324</c:v>
                </c:pt>
                <c:pt idx="761">
                  <c:v>41.350454023802087</c:v>
                </c:pt>
                <c:pt idx="762">
                  <c:v>41.406490682408773</c:v>
                </c:pt>
                <c:pt idx="763">
                  <c:v>41.462401149828565</c:v>
                </c:pt>
                <c:pt idx="764">
                  <c:v>41.518184912356716</c:v>
                </c:pt>
                <c:pt idx="765">
                  <c:v>41.573841456288434</c:v>
                </c:pt>
                <c:pt idx="766">
                  <c:v>41.629370267918972</c:v>
                </c:pt>
                <c:pt idx="767">
                  <c:v>41.684770833543581</c:v>
                </c:pt>
                <c:pt idx="768">
                  <c:v>41.740042639457499</c:v>
                </c:pt>
                <c:pt idx="769">
                  <c:v>41.795185171955971</c:v>
                </c:pt>
                <c:pt idx="770">
                  <c:v>41.850197917334235</c:v>
                </c:pt>
                <c:pt idx="771">
                  <c:v>41.905080361887528</c:v>
                </c:pt>
                <c:pt idx="772">
                  <c:v>41.959831991911109</c:v>
                </c:pt>
                <c:pt idx="773">
                  <c:v>42.014452293700217</c:v>
                </c:pt>
                <c:pt idx="774">
                  <c:v>42.068940753550081</c:v>
                </c:pt>
                <c:pt idx="775">
                  <c:v>42.123296857755939</c:v>
                </c:pt>
                <c:pt idx="776">
                  <c:v>42.177520092613065</c:v>
                </c:pt>
                <c:pt idx="777">
                  <c:v>42.231609944416661</c:v>
                </c:pt>
                <c:pt idx="778">
                  <c:v>42.285565899462007</c:v>
                </c:pt>
                <c:pt idx="779">
                  <c:v>42.339387444044313</c:v>
                </c:pt>
                <c:pt idx="780">
                  <c:v>42.393074064458851</c:v>
                </c:pt>
                <c:pt idx="781">
                  <c:v>42.446625247000831</c:v>
                </c:pt>
                <c:pt idx="782">
                  <c:v>42.500040477965527</c:v>
                </c:pt>
                <c:pt idx="783">
                  <c:v>42.553319243648154</c:v>
                </c:pt>
                <c:pt idx="784">
                  <c:v>42.606461030343965</c:v>
                </c:pt>
                <c:pt idx="785">
                  <c:v>42.659465324348218</c:v>
                </c:pt>
                <c:pt idx="786">
                  <c:v>42.712331611956131</c:v>
                </c:pt>
                <c:pt idx="787">
                  <c:v>42.765059379462969</c:v>
                </c:pt>
                <c:pt idx="788">
                  <c:v>42.817648113163948</c:v>
                </c:pt>
                <c:pt idx="789">
                  <c:v>42.870097299354327</c:v>
                </c:pt>
                <c:pt idx="790">
                  <c:v>42.92240642432936</c:v>
                </c:pt>
                <c:pt idx="791">
                  <c:v>42.974574974384254</c:v>
                </c:pt>
                <c:pt idx="792">
                  <c:v>43.026602435814283</c:v>
                </c:pt>
                <c:pt idx="793">
                  <c:v>43.078488294914678</c:v>
                </c:pt>
                <c:pt idx="794">
                  <c:v>43.13023203798069</c:v>
                </c:pt>
                <c:pt idx="795">
                  <c:v>43.181833151307536</c:v>
                </c:pt>
                <c:pt idx="796">
                  <c:v>43.233291121190483</c:v>
                </c:pt>
                <c:pt idx="797">
                  <c:v>43.28460543392476</c:v>
                </c:pt>
                <c:pt idx="798">
                  <c:v>43.335775575805627</c:v>
                </c:pt>
                <c:pt idx="799">
                  <c:v>43.386801033128307</c:v>
                </c:pt>
                <c:pt idx="800">
                  <c:v>43.437681292188053</c:v>
                </c:pt>
                <c:pt idx="801">
                  <c:v>43.488415839280101</c:v>
                </c:pt>
                <c:pt idx="802">
                  <c:v>43.539004160699697</c:v>
                </c:pt>
                <c:pt idx="803">
                  <c:v>43.589445742742072</c:v>
                </c:pt>
                <c:pt idx="804">
                  <c:v>43.639740071702491</c:v>
                </c:pt>
                <c:pt idx="805">
                  <c:v>43.689886633876171</c:v>
                </c:pt>
                <c:pt idx="806">
                  <c:v>43.739884915558392</c:v>
                </c:pt>
                <c:pt idx="807">
                  <c:v>43.789734403044342</c:v>
                </c:pt>
                <c:pt idx="808">
                  <c:v>43.839434582629316</c:v>
                </c:pt>
                <c:pt idx="809">
                  <c:v>43.888984940608516</c:v>
                </c:pt>
                <c:pt idx="810">
                  <c:v>43.938384963277215</c:v>
                </c:pt>
                <c:pt idx="811">
                  <c:v>43.98763413693063</c:v>
                </c:pt>
                <c:pt idx="812">
                  <c:v>44.036731947864027</c:v>
                </c:pt>
                <c:pt idx="813">
                  <c:v>44.085677882372629</c:v>
                </c:pt>
                <c:pt idx="814">
                  <c:v>44.134471426751681</c:v>
                </c:pt>
                <c:pt idx="815">
                  <c:v>44.183112067296427</c:v>
                </c:pt>
                <c:pt idx="816">
                  <c:v>44.231599290302128</c:v>
                </c:pt>
                <c:pt idx="817">
                  <c:v>44.279932582063999</c:v>
                </c:pt>
                <c:pt idx="818">
                  <c:v>44.3281114288773</c:v>
                </c:pt>
                <c:pt idx="819">
                  <c:v>44.376135317037267</c:v>
                </c:pt>
                <c:pt idx="820">
                  <c:v>44.424003732839125</c:v>
                </c:pt>
                <c:pt idx="821">
                  <c:v>44.471716162578154</c:v>
                </c:pt>
                <c:pt idx="822">
                  <c:v>44.519272092549571</c:v>
                </c:pt>
                <c:pt idx="823">
                  <c:v>44.566671009048619</c:v>
                </c:pt>
                <c:pt idx="824">
                  <c:v>44.613912398370545</c:v>
                </c:pt>
                <c:pt idx="825">
                  <c:v>44.660995746810592</c:v>
                </c:pt>
                <c:pt idx="826">
                  <c:v>44.707920540663991</c:v>
                </c:pt>
                <c:pt idx="827">
                  <c:v>44.754686266226003</c:v>
                </c:pt>
                <c:pt idx="828">
                  <c:v>44.80129240979187</c:v>
                </c:pt>
                <c:pt idx="829">
                  <c:v>44.84773845765681</c:v>
                </c:pt>
                <c:pt idx="830">
                  <c:v>44.894023896116089</c:v>
                </c:pt>
                <c:pt idx="831">
                  <c:v>44.940148211464944</c:v>
                </c:pt>
                <c:pt idx="832">
                  <c:v>44.986110889998606</c:v>
                </c:pt>
                <c:pt idx="833">
                  <c:v>45.031911418012342</c:v>
                </c:pt>
                <c:pt idx="834">
                  <c:v>45.077549281801367</c:v>
                </c:pt>
                <c:pt idx="835">
                  <c:v>45.123023967660927</c:v>
                </c:pt>
                <c:pt idx="836">
                  <c:v>45.168334961886281</c:v>
                </c:pt>
                <c:pt idx="837">
                  <c:v>45.213481750772658</c:v>
                </c:pt>
                <c:pt idx="838">
                  <c:v>45.258463820615304</c:v>
                </c:pt>
                <c:pt idx="839">
                  <c:v>45.303280657709458</c:v>
                </c:pt>
                <c:pt idx="840">
                  <c:v>45.347931748350376</c:v>
                </c:pt>
                <c:pt idx="841">
                  <c:v>45.392416578833284</c:v>
                </c:pt>
                <c:pt idx="842">
                  <c:v>45.436734635453433</c:v>
                </c:pt>
                <c:pt idx="843">
                  <c:v>45.480885404506061</c:v>
                </c:pt>
                <c:pt idx="844">
                  <c:v>45.52486837228642</c:v>
                </c:pt>
                <c:pt idx="845">
                  <c:v>45.568683025089733</c:v>
                </c:pt>
                <c:pt idx="846">
                  <c:v>45.612328849211252</c:v>
                </c:pt>
                <c:pt idx="847">
                  <c:v>45.65580533094623</c:v>
                </c:pt>
                <c:pt idx="848">
                  <c:v>45.699111956589896</c:v>
                </c:pt>
                <c:pt idx="849">
                  <c:v>45.742248212437502</c:v>
                </c:pt>
                <c:pt idx="850">
                  <c:v>45.78521358478428</c:v>
                </c:pt>
                <c:pt idx="851">
                  <c:v>45.828007559925467</c:v>
                </c:pt>
                <c:pt idx="852">
                  <c:v>45.870629624156322</c:v>
                </c:pt>
                <c:pt idx="853">
                  <c:v>45.91307926377209</c:v>
                </c:pt>
                <c:pt idx="854">
                  <c:v>45.955355965067987</c:v>
                </c:pt>
                <c:pt idx="855">
                  <c:v>45.997459214339294</c:v>
                </c:pt>
                <c:pt idx="856">
                  <c:v>46.03938849788122</c:v>
                </c:pt>
                <c:pt idx="857">
                  <c:v>46.081143301989016</c:v>
                </c:pt>
                <c:pt idx="858">
                  <c:v>46.122723112957928</c:v>
                </c:pt>
                <c:pt idx="859">
                  <c:v>46.164127417083193</c:v>
                </c:pt>
                <c:pt idx="860">
                  <c:v>46.205355700660071</c:v>
                </c:pt>
                <c:pt idx="861">
                  <c:v>46.246407449983778</c:v>
                </c:pt>
                <c:pt idx="862">
                  <c:v>46.287282151349572</c:v>
                </c:pt>
                <c:pt idx="863">
                  <c:v>46.327979291052685</c:v>
                </c:pt>
                <c:pt idx="864">
                  <c:v>46.368498355388382</c:v>
                </c:pt>
                <c:pt idx="865">
                  <c:v>46.408838830651888</c:v>
                </c:pt>
                <c:pt idx="866">
                  <c:v>46.449000203138446</c:v>
                </c:pt>
                <c:pt idx="867">
                  <c:v>46.488981959143295</c:v>
                </c:pt>
                <c:pt idx="868">
                  <c:v>46.52878358496168</c:v>
                </c:pt>
                <c:pt idx="869">
                  <c:v>46.568404566888859</c:v>
                </c:pt>
                <c:pt idx="870">
                  <c:v>46.607844391220034</c:v>
                </c:pt>
                <c:pt idx="871">
                  <c:v>46.647102544250494</c:v>
                </c:pt>
                <c:pt idx="872">
                  <c:v>46.686178512275454</c:v>
                </c:pt>
                <c:pt idx="873">
                  <c:v>46.725071781590174</c:v>
                </c:pt>
                <c:pt idx="874">
                  <c:v>46.763781838489876</c:v>
                </c:pt>
                <c:pt idx="875">
                  <c:v>46.8023081692698</c:v>
                </c:pt>
                <c:pt idx="876">
                  <c:v>46.840650260225217</c:v>
                </c:pt>
                <c:pt idx="877">
                  <c:v>46.878807597651353</c:v>
                </c:pt>
                <c:pt idx="878">
                  <c:v>46.916779667843443</c:v>
                </c:pt>
                <c:pt idx="879">
                  <c:v>46.954565957096733</c:v>
                </c:pt>
                <c:pt idx="880">
                  <c:v>46.992165951706482</c:v>
                </c:pt>
                <c:pt idx="881">
                  <c:v>47.029579137967914</c:v>
                </c:pt>
                <c:pt idx="882">
                  <c:v>47.066805002176267</c:v>
                </c:pt>
                <c:pt idx="883">
                  <c:v>47.103843030626791</c:v>
                </c:pt>
                <c:pt idx="884">
                  <c:v>47.14069270961474</c:v>
                </c:pt>
                <c:pt idx="885">
                  <c:v>47.177353525435343</c:v>
                </c:pt>
                <c:pt idx="886">
                  <c:v>47.213824964383846</c:v>
                </c:pt>
                <c:pt idx="887">
                  <c:v>47.25010651275548</c:v>
                </c:pt>
                <c:pt idx="888">
                  <c:v>47.286197656845509</c:v>
                </c:pt>
                <c:pt idx="889">
                  <c:v>47.322097882949151</c:v>
                </c:pt>
                <c:pt idx="890">
                  <c:v>47.35780667736168</c:v>
                </c:pt>
                <c:pt idx="891">
                  <c:v>47.393323526378296</c:v>
                </c:pt>
                <c:pt idx="892">
                  <c:v>47.428647916294288</c:v>
                </c:pt>
                <c:pt idx="893">
                  <c:v>47.463779333404851</c:v>
                </c:pt>
                <c:pt idx="894">
                  <c:v>47.498717264005272</c:v>
                </c:pt>
                <c:pt idx="895">
                  <c:v>47.533461194390767</c:v>
                </c:pt>
                <c:pt idx="896">
                  <c:v>47.568010610856575</c:v>
                </c:pt>
                <c:pt idx="897">
                  <c:v>47.602364999697961</c:v>
                </c:pt>
                <c:pt idx="898">
                  <c:v>47.636523847210142</c:v>
                </c:pt>
                <c:pt idx="899">
                  <c:v>47.670486639688377</c:v>
                </c:pt>
                <c:pt idx="900">
                  <c:v>47.704252863427911</c:v>
                </c:pt>
                <c:pt idx="901">
                  <c:v>47.737822004723959</c:v>
                </c:pt>
                <c:pt idx="902">
                  <c:v>47.771193549871796</c:v>
                </c:pt>
                <c:pt idx="903">
                  <c:v>47.804366985166652</c:v>
                </c:pt>
                <c:pt idx="904">
                  <c:v>47.837341796903758</c:v>
                </c:pt>
                <c:pt idx="905">
                  <c:v>47.870117471378364</c:v>
                </c:pt>
                <c:pt idx="906">
                  <c:v>47.902693494885732</c:v>
                </c:pt>
                <c:pt idx="907">
                  <c:v>47.935069353721076</c:v>
                </c:pt>
                <c:pt idx="908">
                  <c:v>47.967244534179656</c:v>
                </c:pt>
                <c:pt idx="909">
                  <c:v>47.999218522556696</c:v>
                </c:pt>
                <c:pt idx="910">
                  <c:v>48.030990805147454</c:v>
                </c:pt>
                <c:pt idx="911">
                  <c:v>48.062560868247175</c:v>
                </c:pt>
                <c:pt idx="912">
                  <c:v>48.09392819815109</c:v>
                </c:pt>
                <c:pt idx="913">
                  <c:v>48.125092281154437</c:v>
                </c:pt>
                <c:pt idx="914">
                  <c:v>48.156052603552475</c:v>
                </c:pt>
                <c:pt idx="915">
                  <c:v>48.18680865164044</c:v>
                </c:pt>
                <c:pt idx="916">
                  <c:v>48.217359911713572</c:v>
                </c:pt>
                <c:pt idx="917">
                  <c:v>48.247705870067115</c:v>
                </c:pt>
                <c:pt idx="918">
                  <c:v>48.277846012996307</c:v>
                </c:pt>
                <c:pt idx="919">
                  <c:v>48.307779826796398</c:v>
                </c:pt>
                <c:pt idx="920">
                  <c:v>48.337506797762614</c:v>
                </c:pt>
                <c:pt idx="921">
                  <c:v>48.367026412190221</c:v>
                </c:pt>
                <c:pt idx="922">
                  <c:v>48.396338156374448</c:v>
                </c:pt>
                <c:pt idx="923">
                  <c:v>48.425441516610526</c:v>
                </c:pt>
                <c:pt idx="924">
                  <c:v>48.454335979193722</c:v>
                </c:pt>
                <c:pt idx="925">
                  <c:v>48.483021030419266</c:v>
                </c:pt>
                <c:pt idx="926">
                  <c:v>48.511496156582389</c:v>
                </c:pt>
                <c:pt idx="927">
                  <c:v>48.539760843978364</c:v>
                </c:pt>
                <c:pt idx="928">
                  <c:v>48.5678145789024</c:v>
                </c:pt>
                <c:pt idx="929">
                  <c:v>48.595656847649749</c:v>
                </c:pt>
                <c:pt idx="930">
                  <c:v>48.623287136515671</c:v>
                </c:pt>
                <c:pt idx="931">
                  <c:v>48.650704931795389</c:v>
                </c:pt>
                <c:pt idx="932">
                  <c:v>48.677909719784139</c:v>
                </c:pt>
                <c:pt idx="933">
                  <c:v>48.70490098677719</c:v>
                </c:pt>
                <c:pt idx="934">
                  <c:v>48.731678219069771</c:v>
                </c:pt>
                <c:pt idx="935">
                  <c:v>48.758240902957127</c:v>
                </c:pt>
                <c:pt idx="936">
                  <c:v>48.784588524734481</c:v>
                </c:pt>
                <c:pt idx="937">
                  <c:v>48.8107205706971</c:v>
                </c:pt>
                <c:pt idx="938">
                  <c:v>48.836636527140215</c:v>
                </c:pt>
                <c:pt idx="939">
                  <c:v>48.862335880359069</c:v>
                </c:pt>
                <c:pt idx="940">
                  <c:v>48.887818116648909</c:v>
                </c:pt>
                <c:pt idx="941">
                  <c:v>48.913082722304964</c:v>
                </c:pt>
                <c:pt idx="942">
                  <c:v>48.938129183622486</c:v>
                </c:pt>
                <c:pt idx="943">
                  <c:v>48.962956986896728</c:v>
                </c:pt>
                <c:pt idx="944">
                  <c:v>48.98756561842292</c:v>
                </c:pt>
                <c:pt idx="945">
                  <c:v>49.0119545644963</c:v>
                </c:pt>
                <c:pt idx="946">
                  <c:v>49.036123311412119</c:v>
                </c:pt>
                <c:pt idx="947">
                  <c:v>49.060071345465616</c:v>
                </c:pt>
                <c:pt idx="948">
                  <c:v>49.083798152952028</c:v>
                </c:pt>
                <c:pt idx="949">
                  <c:v>49.107303220166614</c:v>
                </c:pt>
                <c:pt idx="950">
                  <c:v>49.130586033404597</c:v>
                </c:pt>
                <c:pt idx="951">
                  <c:v>49.153646078961224</c:v>
                </c:pt>
                <c:pt idx="952">
                  <c:v>49.176482843131758</c:v>
                </c:pt>
                <c:pt idx="953">
                  <c:v>49.199095812211411</c:v>
                </c:pt>
                <c:pt idx="954">
                  <c:v>49.221484472495433</c:v>
                </c:pt>
                <c:pt idx="955">
                  <c:v>49.243648310279085</c:v>
                </c:pt>
                <c:pt idx="956">
                  <c:v>49.265586811857588</c:v>
                </c:pt>
                <c:pt idx="957">
                  <c:v>49.287299463526196</c:v>
                </c:pt>
                <c:pt idx="958">
                  <c:v>49.308785751580146</c:v>
                </c:pt>
                <c:pt idx="959">
                  <c:v>49.330045162314676</c:v>
                </c:pt>
                <c:pt idx="960">
                  <c:v>49.351077182025037</c:v>
                </c:pt>
                <c:pt idx="961">
                  <c:v>49.371881297006482</c:v>
                </c:pt>
                <c:pt idx="962">
                  <c:v>49.392456993554219</c:v>
                </c:pt>
                <c:pt idx="963">
                  <c:v>49.412803757963516</c:v>
                </c:pt>
                <c:pt idx="964">
                  <c:v>49.432921076529624</c:v>
                </c:pt>
                <c:pt idx="965">
                  <c:v>49.452808435547759</c:v>
                </c:pt>
                <c:pt idx="966">
                  <c:v>49.47246532131318</c:v>
                </c:pt>
                <c:pt idx="967">
                  <c:v>49.491891220121119</c:v>
                </c:pt>
                <c:pt idx="968">
                  <c:v>49.511085618266826</c:v>
                </c:pt>
                <c:pt idx="969">
                  <c:v>49.530048002045547</c:v>
                </c:pt>
                <c:pt idx="970">
                  <c:v>49.548777857752512</c:v>
                </c:pt>
                <c:pt idx="971">
                  <c:v>49.567274671682981</c:v>
                </c:pt>
                <c:pt idx="972">
                  <c:v>49.585537930132176</c:v>
                </c:pt>
                <c:pt idx="973">
                  <c:v>49.603567119395358</c:v>
                </c:pt>
                <c:pt idx="974">
                  <c:v>49.621361725767756</c:v>
                </c:pt>
                <c:pt idx="975">
                  <c:v>49.638921235544615</c:v>
                </c:pt>
                <c:pt idx="976">
                  <c:v>49.656245135021166</c:v>
                </c:pt>
                <c:pt idx="977">
                  <c:v>49.673332910492682</c:v>
                </c:pt>
                <c:pt idx="978">
                  <c:v>49.69018404825438</c:v>
                </c:pt>
                <c:pt idx="979">
                  <c:v>49.706798034601512</c:v>
                </c:pt>
                <c:pt idx="980">
                  <c:v>49.723174355829315</c:v>
                </c:pt>
                <c:pt idx="981">
                  <c:v>49.739312498233033</c:v>
                </c:pt>
                <c:pt idx="982">
                  <c:v>49.75521194810792</c:v>
                </c:pt>
                <c:pt idx="983">
                  <c:v>49.770872191749191</c:v>
                </c:pt>
                <c:pt idx="984">
                  <c:v>49.78629271545212</c:v>
                </c:pt>
                <c:pt idx="985">
                  <c:v>49.801473005511923</c:v>
                </c:pt>
                <c:pt idx="986">
                  <c:v>49.816412548223859</c:v>
                </c:pt>
                <c:pt idx="987">
                  <c:v>49.831110829883166</c:v>
                </c:pt>
                <c:pt idx="988">
                  <c:v>49.845567336785081</c:v>
                </c:pt>
                <c:pt idx="989">
                  <c:v>49.859781555224849</c:v>
                </c:pt>
                <c:pt idx="990">
                  <c:v>49.873752971497716</c:v>
                </c:pt>
                <c:pt idx="991">
                  <c:v>49.887481071898925</c:v>
                </c:pt>
                <c:pt idx="992">
                  <c:v>49.900965342723708</c:v>
                </c:pt>
                <c:pt idx="993">
                  <c:v>49.914205270267324</c:v>
                </c:pt>
                <c:pt idx="994">
                  <c:v>49.927200340825003</c:v>
                </c:pt>
                <c:pt idx="995">
                  <c:v>49.939950040691983</c:v>
                </c:pt>
                <c:pt idx="996">
                  <c:v>49.952453856163515</c:v>
                </c:pt>
                <c:pt idx="997">
                  <c:v>49.964711273534846</c:v>
                </c:pt>
                <c:pt idx="998">
                  <c:v>49.976721779101211</c:v>
                </c:pt>
                <c:pt idx="999">
                  <c:v>49.98848485915785</c:v>
                </c:pt>
                <c:pt idx="1000">
                  <c:v>50.000000000000007</c:v>
                </c:pt>
                <c:pt idx="1001">
                  <c:v>51.000000000000007</c:v>
                </c:pt>
                <c:pt idx="1002">
                  <c:v>52.000000000000007</c:v>
                </c:pt>
                <c:pt idx="1003">
                  <c:v>53.000000000000007</c:v>
                </c:pt>
                <c:pt idx="1004">
                  <c:v>54.000000000000007</c:v>
                </c:pt>
                <c:pt idx="1005">
                  <c:v>55.000000000000007</c:v>
                </c:pt>
                <c:pt idx="1006">
                  <c:v>56.000000000000007</c:v>
                </c:pt>
                <c:pt idx="1007">
                  <c:v>57.000000000000007</c:v>
                </c:pt>
                <c:pt idx="1008">
                  <c:v>58.000000000000007</c:v>
                </c:pt>
                <c:pt idx="1009">
                  <c:v>59.000000000000007</c:v>
                </c:pt>
                <c:pt idx="1010">
                  <c:v>60.000000000000007</c:v>
                </c:pt>
                <c:pt idx="1011">
                  <c:v>61.000000000000007</c:v>
                </c:pt>
                <c:pt idx="1012">
                  <c:v>62.000000000000007</c:v>
                </c:pt>
                <c:pt idx="1013">
                  <c:v>63.000000000000007</c:v>
                </c:pt>
                <c:pt idx="1014">
                  <c:v>64</c:v>
                </c:pt>
                <c:pt idx="1015">
                  <c:v>65</c:v>
                </c:pt>
                <c:pt idx="1016">
                  <c:v>66</c:v>
                </c:pt>
                <c:pt idx="1017">
                  <c:v>67</c:v>
                </c:pt>
                <c:pt idx="1018">
                  <c:v>68</c:v>
                </c:pt>
                <c:pt idx="1019">
                  <c:v>69</c:v>
                </c:pt>
                <c:pt idx="1020">
                  <c:v>70</c:v>
                </c:pt>
                <c:pt idx="1021">
                  <c:v>71</c:v>
                </c:pt>
                <c:pt idx="1022">
                  <c:v>72</c:v>
                </c:pt>
                <c:pt idx="1023">
                  <c:v>73</c:v>
                </c:pt>
                <c:pt idx="1024">
                  <c:v>74</c:v>
                </c:pt>
                <c:pt idx="1025">
                  <c:v>75</c:v>
                </c:pt>
                <c:pt idx="1026">
                  <c:v>76</c:v>
                </c:pt>
                <c:pt idx="1027">
                  <c:v>77</c:v>
                </c:pt>
                <c:pt idx="1028">
                  <c:v>78</c:v>
                </c:pt>
                <c:pt idx="1029">
                  <c:v>79</c:v>
                </c:pt>
                <c:pt idx="1030">
                  <c:v>80</c:v>
                </c:pt>
                <c:pt idx="1031">
                  <c:v>81</c:v>
                </c:pt>
                <c:pt idx="1032">
                  <c:v>82</c:v>
                </c:pt>
                <c:pt idx="1033">
                  <c:v>83</c:v>
                </c:pt>
                <c:pt idx="1034">
                  <c:v>84</c:v>
                </c:pt>
                <c:pt idx="1035">
                  <c:v>85</c:v>
                </c:pt>
                <c:pt idx="1036">
                  <c:v>86</c:v>
                </c:pt>
                <c:pt idx="1037">
                  <c:v>87</c:v>
                </c:pt>
                <c:pt idx="1038">
                  <c:v>88</c:v>
                </c:pt>
                <c:pt idx="1039">
                  <c:v>89</c:v>
                </c:pt>
                <c:pt idx="1040">
                  <c:v>90</c:v>
                </c:pt>
                <c:pt idx="1041">
                  <c:v>91</c:v>
                </c:pt>
                <c:pt idx="1042">
                  <c:v>92</c:v>
                </c:pt>
                <c:pt idx="1043">
                  <c:v>93</c:v>
                </c:pt>
                <c:pt idx="1044">
                  <c:v>94</c:v>
                </c:pt>
                <c:pt idx="1045">
                  <c:v>95</c:v>
                </c:pt>
                <c:pt idx="1046">
                  <c:v>96</c:v>
                </c:pt>
                <c:pt idx="1047">
                  <c:v>97</c:v>
                </c:pt>
                <c:pt idx="1048">
                  <c:v>98</c:v>
                </c:pt>
                <c:pt idx="1049">
                  <c:v>99</c:v>
                </c:pt>
                <c:pt idx="1050">
                  <c:v>100</c:v>
                </c:pt>
              </c:numCache>
            </c:numRef>
          </c:xVal>
          <c:yVal>
            <c:numRef>
              <c:f>Sheet1!$J$8:$J$1058</c:f>
              <c:numCache>
                <c:formatCode>General</c:formatCode>
                <c:ptCount val="1051"/>
                <c:pt idx="0">
                  <c:v>0</c:v>
                </c:pt>
                <c:pt idx="1">
                  <c:v>2.351102099344484E-4</c:v>
                </c:pt>
                <c:pt idx="2">
                  <c:v>4.9014222936935635E-4</c:v>
                </c:pt>
                <c:pt idx="3">
                  <c:v>7.6505568366474911E-4</c:v>
                </c:pt>
                <c:pt idx="4">
                  <c:v>1.059810198180652E-3</c:v>
                </c:pt>
                <c:pt idx="5">
                  <c:v>1.3743653982770899E-3</c:v>
                </c:pt>
                <c:pt idx="6">
                  <c:v>1.7086809093140882E-3</c:v>
                </c:pt>
                <c:pt idx="7">
                  <c:v>2.0627163566516722E-3</c:v>
                </c:pt>
                <c:pt idx="8">
                  <c:v>2.436431365649866E-3</c:v>
                </c:pt>
                <c:pt idx="9">
                  <c:v>2.8297855616686973E-3</c:v>
                </c:pt>
                <c:pt idx="10">
                  <c:v>3.2427385700681891E-3</c:v>
                </c:pt>
                <c:pt idx="11">
                  <c:v>3.6752500162083677E-3</c:v>
                </c:pt>
                <c:pt idx="12">
                  <c:v>4.1272795254492572E-3</c:v>
                </c:pt>
                <c:pt idx="13">
                  <c:v>4.5987867231508835E-3</c:v>
                </c:pt>
                <c:pt idx="14">
                  <c:v>5.0897312346732714E-3</c:v>
                </c:pt>
                <c:pt idx="15">
                  <c:v>5.6000726853764476E-3</c:v>
                </c:pt>
                <c:pt idx="16">
                  <c:v>6.1297707006204355E-3</c:v>
                </c:pt>
                <c:pt idx="17">
                  <c:v>6.6787849057652606E-3</c:v>
                </c:pt>
                <c:pt idx="18">
                  <c:v>7.247074926170949E-3</c:v>
                </c:pt>
                <c:pt idx="19">
                  <c:v>7.8346003871975246E-3</c:v>
                </c:pt>
                <c:pt idx="20">
                  <c:v>8.4413209142050125E-3</c:v>
                </c:pt>
                <c:pt idx="21">
                  <c:v>9.06719613255344E-3</c:v>
                </c:pt>
                <c:pt idx="22">
                  <c:v>9.7121856676028306E-3</c:v>
                </c:pt>
                <c:pt idx="23">
                  <c:v>1.0376249144713209E-2</c:v>
                </c:pt>
                <c:pt idx="24">
                  <c:v>1.1059346189244602E-2</c:v>
                </c:pt>
                <c:pt idx="25">
                  <c:v>1.1761436426557035E-2</c:v>
                </c:pt>
                <c:pt idx="26">
                  <c:v>1.2482479482010528E-2</c:v>
                </c:pt>
                <c:pt idx="27">
                  <c:v>1.3222434980965115E-2</c:v>
                </c:pt>
                <c:pt idx="28">
                  <c:v>1.3981262548780815E-2</c:v>
                </c:pt>
                <c:pt idx="29">
                  <c:v>1.4758921810817656E-2</c:v>
                </c:pt>
                <c:pt idx="30">
                  <c:v>1.5555372392435658E-2</c:v>
                </c:pt>
                <c:pt idx="31">
                  <c:v>1.6370573918994852E-2</c:v>
                </c:pt>
                <c:pt idx="32">
                  <c:v>1.7204486015855266E-2</c:v>
                </c:pt>
                <c:pt idx="33">
                  <c:v>1.8057068308376913E-2</c:v>
                </c:pt>
                <c:pt idx="34">
                  <c:v>1.8928280421919831E-2</c:v>
                </c:pt>
                <c:pt idx="35">
                  <c:v>1.9818081981844038E-2</c:v>
                </c:pt>
                <c:pt idx="36">
                  <c:v>2.0726432613509562E-2</c:v>
                </c:pt>
                <c:pt idx="37">
                  <c:v>2.1653291942276425E-2</c:v>
                </c:pt>
                <c:pt idx="38">
                  <c:v>2.2598619593504659E-2</c:v>
                </c:pt>
                <c:pt idx="39">
                  <c:v>2.3562375192554275E-2</c:v>
                </c:pt>
                <c:pt idx="40">
                  <c:v>2.4544518364785314E-2</c:v>
                </c:pt>
                <c:pt idx="41">
                  <c:v>2.55450087355578E-2</c:v>
                </c:pt>
                <c:pt idx="42">
                  <c:v>2.6563805930231742E-2</c:v>
                </c:pt>
                <c:pt idx="43">
                  <c:v>2.760086957416719E-2</c:v>
                </c:pt>
                <c:pt idx="44">
                  <c:v>2.8656159292724147E-2</c:v>
                </c:pt>
                <c:pt idx="45">
                  <c:v>2.9729634711262644E-2</c:v>
                </c:pt>
                <c:pt idx="46">
                  <c:v>3.0821255455142714E-2</c:v>
                </c:pt>
                <c:pt idx="47">
                  <c:v>3.1930981149724376E-2</c:v>
                </c:pt>
                <c:pt idx="48">
                  <c:v>3.3058771420367658E-2</c:v>
                </c:pt>
                <c:pt idx="49">
                  <c:v>3.4204585892432582E-2</c:v>
                </c:pt>
                <c:pt idx="50">
                  <c:v>3.5368384191279176E-2</c:v>
                </c:pt>
                <c:pt idx="51">
                  <c:v>3.6550125942267461E-2</c:v>
                </c:pt>
                <c:pt idx="52">
                  <c:v>3.7749770770757467E-2</c:v>
                </c:pt>
                <c:pt idx="53">
                  <c:v>3.8967278302109221E-2</c:v>
                </c:pt>
                <c:pt idx="54">
                  <c:v>4.0202608161682737E-2</c:v>
                </c:pt>
                <c:pt idx="55">
                  <c:v>4.1455719974838053E-2</c:v>
                </c:pt>
                <c:pt idx="56">
                  <c:v>4.272657336693518E-2</c:v>
                </c:pt>
                <c:pt idx="57">
                  <c:v>4.4015127963334157E-2</c:v>
                </c:pt>
                <c:pt idx="58">
                  <c:v>4.5321343389395016E-2</c:v>
                </c:pt>
                <c:pt idx="59">
                  <c:v>4.664517927047776E-2</c:v>
                </c:pt>
                <c:pt idx="60">
                  <c:v>4.7986595231942424E-2</c:v>
                </c:pt>
                <c:pt idx="61">
                  <c:v>4.9345550899149035E-2</c:v>
                </c:pt>
                <c:pt idx="62">
                  <c:v>5.0722005897457616E-2</c:v>
                </c:pt>
                <c:pt idx="63">
                  <c:v>5.2115919852228181E-2</c:v>
                </c:pt>
                <c:pt idx="64">
                  <c:v>5.3527252388820792E-2</c:v>
                </c:pt>
                <c:pt idx="65">
                  <c:v>5.4955963132595424E-2</c:v>
                </c:pt>
                <c:pt idx="66">
                  <c:v>5.6402011708912146E-2</c:v>
                </c:pt>
                <c:pt idx="67">
                  <c:v>5.7865357743130959E-2</c:v>
                </c:pt>
                <c:pt idx="68">
                  <c:v>5.9345960860611897E-2</c:v>
                </c:pt>
                <c:pt idx="69">
                  <c:v>6.0843780686714984E-2</c:v>
                </c:pt>
                <c:pt idx="70">
                  <c:v>6.2358776846800239E-2</c:v>
                </c:pt>
                <c:pt idx="71">
                  <c:v>6.3890908966227705E-2</c:v>
                </c:pt>
                <c:pt idx="72">
                  <c:v>6.5440136670357363E-2</c:v>
                </c:pt>
                <c:pt idx="73">
                  <c:v>6.7006419584549295E-2</c:v>
                </c:pt>
                <c:pt idx="74">
                  <c:v>6.8589717334163497E-2</c:v>
                </c:pt>
                <c:pt idx="75">
                  <c:v>7.0189989544559989E-2</c:v>
                </c:pt>
                <c:pt idx="76">
                  <c:v>7.180719584109882E-2</c:v>
                </c:pt>
                <c:pt idx="77">
                  <c:v>7.344129584913997E-2</c:v>
                </c:pt>
                <c:pt idx="78">
                  <c:v>7.5092249194043517E-2</c:v>
                </c:pt>
                <c:pt idx="79">
                  <c:v>7.6760015501169468E-2</c:v>
                </c:pt>
                <c:pt idx="80">
                  <c:v>7.844455439587783E-2</c:v>
                </c:pt>
                <c:pt idx="81">
                  <c:v>8.0145825503528653E-2</c:v>
                </c:pt>
                <c:pt idx="82">
                  <c:v>8.1863788449481931E-2</c:v>
                </c:pt>
                <c:pt idx="83">
                  <c:v>8.359840285909774E-2</c:v>
                </c:pt>
                <c:pt idx="84">
                  <c:v>8.5349628357736046E-2</c:v>
                </c:pt>
                <c:pt idx="85">
                  <c:v>8.7117424570756913E-2</c:v>
                </c:pt>
                <c:pt idx="86">
                  <c:v>8.8901751123520362E-2</c:v>
                </c:pt>
                <c:pt idx="87">
                  <c:v>9.07025676413864E-2</c:v>
                </c:pt>
                <c:pt idx="88">
                  <c:v>9.2519833749715077E-2</c:v>
                </c:pt>
                <c:pt idx="89">
                  <c:v>9.4353509073866387E-2</c:v>
                </c:pt>
                <c:pt idx="90">
                  <c:v>9.6203553239200379E-2</c:v>
                </c:pt>
                <c:pt idx="91">
                  <c:v>9.8069925871077088E-2</c:v>
                </c:pt>
                <c:pt idx="92">
                  <c:v>9.9952586594856521E-2</c:v>
                </c:pt>
                <c:pt idx="93">
                  <c:v>0.10185149503589869</c:v>
                </c:pt>
                <c:pt idx="94">
                  <c:v>0.10376661081956363</c:v>
                </c:pt>
                <c:pt idx="95">
                  <c:v>0.1056978935712114</c:v>
                </c:pt>
                <c:pt idx="96">
                  <c:v>0.10764530291620199</c:v>
                </c:pt>
                <c:pt idx="97">
                  <c:v>0.10960879847989541</c:v>
                </c:pt>
                <c:pt idx="98">
                  <c:v>0.11158833988765174</c:v>
                </c:pt>
                <c:pt idx="99">
                  <c:v>0.11358388676483096</c:v>
                </c:pt>
                <c:pt idx="100">
                  <c:v>0.1155953987367931</c:v>
                </c:pt>
                <c:pt idx="101">
                  <c:v>0.11762283542889819</c:v>
                </c:pt>
                <c:pt idx="102">
                  <c:v>0.11966615646650626</c:v>
                </c:pt>
                <c:pt idx="103">
                  <c:v>0.12172532147497733</c:v>
                </c:pt>
                <c:pt idx="104">
                  <c:v>0.12380029007967146</c:v>
                </c:pt>
                <c:pt idx="105">
                  <c:v>0.12589102190594861</c:v>
                </c:pt>
                <c:pt idx="106">
                  <c:v>0.12799747657916885</c:v>
                </c:pt>
                <c:pt idx="107">
                  <c:v>0.13011961372469219</c:v>
                </c:pt>
                <c:pt idx="108">
                  <c:v>0.13225739296787867</c:v>
                </c:pt>
                <c:pt idx="109">
                  <c:v>0.13441077393408829</c:v>
                </c:pt>
                <c:pt idx="110">
                  <c:v>0.13657971624868115</c:v>
                </c:pt>
                <c:pt idx="111">
                  <c:v>0.13876417953701717</c:v>
                </c:pt>
                <c:pt idx="112">
                  <c:v>0.14096412342445638</c:v>
                </c:pt>
                <c:pt idx="113">
                  <c:v>0.14317950753635889</c:v>
                </c:pt>
                <c:pt idx="114">
                  <c:v>0.14541029149808465</c:v>
                </c:pt>
                <c:pt idx="115">
                  <c:v>0.14765643493499375</c:v>
                </c:pt>
                <c:pt idx="116">
                  <c:v>0.14991789747244619</c:v>
                </c:pt>
                <c:pt idx="117">
                  <c:v>0.152194638735802</c:v>
                </c:pt>
                <c:pt idx="118">
                  <c:v>0.15448661835042113</c:v>
                </c:pt>
                <c:pt idx="119">
                  <c:v>0.15679379594166371</c:v>
                </c:pt>
                <c:pt idx="120">
                  <c:v>0.1591161311348897</c:v>
                </c:pt>
                <c:pt idx="121">
                  <c:v>0.16145358355545913</c:v>
                </c:pt>
                <c:pt idx="122">
                  <c:v>0.16380611282873206</c:v>
                </c:pt>
                <c:pt idx="123">
                  <c:v>0.16617367858006851</c:v>
                </c:pt>
                <c:pt idx="124">
                  <c:v>0.1685562404348285</c:v>
                </c:pt>
                <c:pt idx="125">
                  <c:v>0.17095375801837198</c:v>
                </c:pt>
                <c:pt idx="126">
                  <c:v>0.17336619095605915</c:v>
                </c:pt>
                <c:pt idx="127">
                  <c:v>0.17579349887324988</c:v>
                </c:pt>
                <c:pt idx="128">
                  <c:v>0.17823564139530423</c:v>
                </c:pt>
                <c:pt idx="129">
                  <c:v>0.18069257814758224</c:v>
                </c:pt>
                <c:pt idx="130">
                  <c:v>0.18316426875544395</c:v>
                </c:pt>
                <c:pt idx="131">
                  <c:v>0.18565067284424935</c:v>
                </c:pt>
                <c:pt idx="132">
                  <c:v>0.1881517500393585</c:v>
                </c:pt>
                <c:pt idx="133">
                  <c:v>0.19066745996613141</c:v>
                </c:pt>
                <c:pt idx="134">
                  <c:v>0.1931977622499281</c:v>
                </c:pt>
                <c:pt idx="135">
                  <c:v>0.19574261651610858</c:v>
                </c:pt>
                <c:pt idx="136">
                  <c:v>0.19830198239003291</c:v>
                </c:pt>
                <c:pt idx="137">
                  <c:v>0.20087581949706113</c:v>
                </c:pt>
                <c:pt idx="138">
                  <c:v>0.20346408746255323</c:v>
                </c:pt>
                <c:pt idx="139">
                  <c:v>0.20606674591186919</c:v>
                </c:pt>
                <c:pt idx="140">
                  <c:v>0.20868375447036913</c:v>
                </c:pt>
                <c:pt idx="141">
                  <c:v>0.21131507276341299</c:v>
                </c:pt>
                <c:pt idx="142">
                  <c:v>0.21396066041636089</c:v>
                </c:pt>
                <c:pt idx="143">
                  <c:v>0.21662047705457277</c:v>
                </c:pt>
                <c:pt idx="144">
                  <c:v>0.2192944823034087</c:v>
                </c:pt>
                <c:pt idx="145">
                  <c:v>0.22198263578822869</c:v>
                </c:pt>
                <c:pt idx="146">
                  <c:v>0.22468489713439274</c:v>
                </c:pt>
                <c:pt idx="147">
                  <c:v>0.22740122596726092</c:v>
                </c:pt>
                <c:pt idx="148">
                  <c:v>0.23013158191219324</c:v>
                </c:pt>
                <c:pt idx="149">
                  <c:v>0.2328759245945497</c:v>
                </c:pt>
                <c:pt idx="150">
                  <c:v>0.23563421363969039</c:v>
                </c:pt>
                <c:pt idx="151">
                  <c:v>0.23840640867297527</c:v>
                </c:pt>
                <c:pt idx="152">
                  <c:v>0.24119246931976443</c:v>
                </c:pt>
                <c:pt idx="153">
                  <c:v>0.24399235520541782</c:v>
                </c:pt>
                <c:pt idx="154">
                  <c:v>0.24680602595529544</c:v>
                </c:pt>
                <c:pt idx="155">
                  <c:v>0.24963344119475739</c:v>
                </c:pt>
                <c:pt idx="156">
                  <c:v>0.25247456054916373</c:v>
                </c:pt>
                <c:pt idx="157">
                  <c:v>0.25532934364387444</c:v>
                </c:pt>
                <c:pt idx="158">
                  <c:v>0.2581977501042495</c:v>
                </c:pt>
                <c:pt idx="159">
                  <c:v>0.26107973955564895</c:v>
                </c:pt>
                <c:pt idx="160">
                  <c:v>0.26397527162343293</c:v>
                </c:pt>
                <c:pt idx="161">
                  <c:v>0.26688430593296136</c:v>
                </c:pt>
                <c:pt idx="162">
                  <c:v>0.26980680210959423</c:v>
                </c:pt>
                <c:pt idx="163">
                  <c:v>0.27274271977869158</c:v>
                </c:pt>
                <c:pt idx="164">
                  <c:v>0.27569201856561359</c:v>
                </c:pt>
                <c:pt idx="165">
                  <c:v>0.2786546580957201</c:v>
                </c:pt>
                <c:pt idx="166">
                  <c:v>0.28163059799437118</c:v>
                </c:pt>
                <c:pt idx="167">
                  <c:v>0.28461979788692682</c:v>
                </c:pt>
                <c:pt idx="168">
                  <c:v>0.28762221739874722</c:v>
                </c:pt>
                <c:pt idx="169">
                  <c:v>0.2906378161551923</c:v>
                </c:pt>
                <c:pt idx="170">
                  <c:v>0.29366655378162199</c:v>
                </c:pt>
                <c:pt idx="171">
                  <c:v>0.29670838990339637</c:v>
                </c:pt>
                <c:pt idx="172">
                  <c:v>0.29976328414587561</c:v>
                </c:pt>
                <c:pt idx="173">
                  <c:v>0.3028311961344195</c:v>
                </c:pt>
                <c:pt idx="174">
                  <c:v>0.30591208549438825</c:v>
                </c:pt>
                <c:pt idx="175">
                  <c:v>0.30900591185114185</c:v>
                </c:pt>
                <c:pt idx="176">
                  <c:v>0.3121126348300402</c:v>
                </c:pt>
                <c:pt idx="177">
                  <c:v>0.31523221405644347</c:v>
                </c:pt>
                <c:pt idx="178">
                  <c:v>0.31836460915571158</c:v>
                </c:pt>
                <c:pt idx="179">
                  <c:v>0.32150977975320466</c:v>
                </c:pt>
                <c:pt idx="180">
                  <c:v>0.32466768547428265</c:v>
                </c:pt>
                <c:pt idx="181">
                  <c:v>0.32783828594430564</c:v>
                </c:pt>
                <c:pt idx="182">
                  <c:v>0.33102154078863361</c:v>
                </c:pt>
                <c:pt idx="183">
                  <c:v>0.33421740963262658</c:v>
                </c:pt>
                <c:pt idx="184">
                  <c:v>0.33742585210164472</c:v>
                </c:pt>
                <c:pt idx="185">
                  <c:v>0.34064682782104777</c:v>
                </c:pt>
                <c:pt idx="186">
                  <c:v>0.34388029641619594</c:v>
                </c:pt>
                <c:pt idx="187">
                  <c:v>0.34712621751244926</c:v>
                </c:pt>
                <c:pt idx="188">
                  <c:v>0.35038455073516772</c:v>
                </c:pt>
                <c:pt idx="189">
                  <c:v>0.3536552557097114</c:v>
                </c:pt>
                <c:pt idx="190">
                  <c:v>0.35693829206144023</c:v>
                </c:pt>
                <c:pt idx="191">
                  <c:v>0.36023361941571425</c:v>
                </c:pt>
                <c:pt idx="192">
                  <c:v>0.36354119739789359</c:v>
                </c:pt>
                <c:pt idx="193">
                  <c:v>0.36686098563333813</c:v>
                </c:pt>
                <c:pt idx="194">
                  <c:v>0.37019294374740802</c:v>
                </c:pt>
                <c:pt idx="195">
                  <c:v>0.37353703136546318</c:v>
                </c:pt>
                <c:pt idx="196">
                  <c:v>0.3768932081128637</c:v>
                </c:pt>
                <c:pt idx="197">
                  <c:v>0.38026143361496961</c:v>
                </c:pt>
                <c:pt idx="198">
                  <c:v>0.3836416674971409</c:v>
                </c:pt>
                <c:pt idx="199">
                  <c:v>0.38703386938473766</c:v>
                </c:pt>
                <c:pt idx="200">
                  <c:v>0.39043799890311981</c:v>
                </c:pt>
                <c:pt idx="201">
                  <c:v>0.39385401567764744</c:v>
                </c:pt>
                <c:pt idx="202">
                  <c:v>0.39728187933368053</c:v>
                </c:pt>
                <c:pt idx="203">
                  <c:v>0.40072154949657923</c:v>
                </c:pt>
                <c:pt idx="204">
                  <c:v>0.40417298579170347</c:v>
                </c:pt>
                <c:pt idx="205">
                  <c:v>0.40763614784441327</c:v>
                </c:pt>
                <c:pt idx="206">
                  <c:v>0.41111099528006861</c:v>
                </c:pt>
                <c:pt idx="207">
                  <c:v>0.4145974877240296</c:v>
                </c:pt>
                <c:pt idx="208">
                  <c:v>0.41809558480165632</c:v>
                </c:pt>
                <c:pt idx="209">
                  <c:v>0.42160524613830852</c:v>
                </c:pt>
                <c:pt idx="210">
                  <c:v>0.42512643135934663</c:v>
                </c:pt>
                <c:pt idx="211">
                  <c:v>0.42865910009013031</c:v>
                </c:pt>
                <c:pt idx="212">
                  <c:v>0.43220321195601985</c:v>
                </c:pt>
                <c:pt idx="213">
                  <c:v>0.43575872658237508</c:v>
                </c:pt>
                <c:pt idx="214">
                  <c:v>0.43932560359455619</c:v>
                </c:pt>
                <c:pt idx="215">
                  <c:v>0.44290380261792311</c:v>
                </c:pt>
                <c:pt idx="216">
                  <c:v>0.44649328327783588</c:v>
                </c:pt>
                <c:pt idx="217">
                  <c:v>0.45009400519965448</c:v>
                </c:pt>
                <c:pt idx="218">
                  <c:v>0.45370592800873899</c:v>
                </c:pt>
                <c:pt idx="219">
                  <c:v>0.45732901133044945</c:v>
                </c:pt>
                <c:pt idx="220">
                  <c:v>0.46096321479014579</c:v>
                </c:pt>
                <c:pt idx="221">
                  <c:v>0.46460849801318821</c:v>
                </c:pt>
                <c:pt idx="222">
                  <c:v>0.46826482062493668</c:v>
                </c:pt>
                <c:pt idx="223">
                  <c:v>0.47193214225075103</c:v>
                </c:pt>
                <c:pt idx="224">
                  <c:v>0.47561042251599145</c:v>
                </c:pt>
                <c:pt idx="225">
                  <c:v>0.47929962104601798</c:v>
                </c:pt>
                <c:pt idx="226">
                  <c:v>0.48299969746619059</c:v>
                </c:pt>
                <c:pt idx="227">
                  <c:v>0.48671061140186944</c:v>
                </c:pt>
                <c:pt idx="228">
                  <c:v>0.49043232247841428</c:v>
                </c:pt>
                <c:pt idx="229">
                  <c:v>0.49416479032118538</c:v>
                </c:pt>
                <c:pt idx="230">
                  <c:v>0.4979079745555427</c:v>
                </c:pt>
                <c:pt idx="231">
                  <c:v>0.50166183480684623</c:v>
                </c:pt>
                <c:pt idx="232">
                  <c:v>0.50542633070045595</c:v>
                </c:pt>
                <c:pt idx="233">
                  <c:v>0.50920142186173201</c:v>
                </c:pt>
                <c:pt idx="234">
                  <c:v>0.51298706791603443</c:v>
                </c:pt>
                <c:pt idx="235">
                  <c:v>0.51678322848872316</c:v>
                </c:pt>
                <c:pt idx="236">
                  <c:v>0.5205898632051581</c:v>
                </c:pt>
                <c:pt idx="237">
                  <c:v>0.52440693169069952</c:v>
                </c:pt>
                <c:pt idx="238">
                  <c:v>0.52823439357070734</c:v>
                </c:pt>
                <c:pt idx="239">
                  <c:v>0.5320722084705416</c:v>
                </c:pt>
                <c:pt idx="240">
                  <c:v>0.53592033601556233</c:v>
                </c:pt>
                <c:pt idx="241">
                  <c:v>0.53977873583112956</c:v>
                </c:pt>
                <c:pt idx="242">
                  <c:v>0.54364736754260323</c:v>
                </c:pt>
                <c:pt idx="243">
                  <c:v>0.54752619077534348</c:v>
                </c:pt>
                <c:pt idx="244">
                  <c:v>0.55141516515471012</c:v>
                </c:pt>
                <c:pt idx="245">
                  <c:v>0.55531425030606352</c:v>
                </c:pt>
                <c:pt idx="246">
                  <c:v>0.55922340585476349</c:v>
                </c:pt>
                <c:pt idx="247">
                  <c:v>0.56314259142617018</c:v>
                </c:pt>
                <c:pt idx="248">
                  <c:v>0.5670717666456434</c:v>
                </c:pt>
                <c:pt idx="249">
                  <c:v>0.57101089113854331</c:v>
                </c:pt>
                <c:pt idx="250">
                  <c:v>0.57495992453022982</c:v>
                </c:pt>
                <c:pt idx="251">
                  <c:v>0.57891882644606329</c:v>
                </c:pt>
                <c:pt idx="252">
                  <c:v>0.58288755651140334</c:v>
                </c:pt>
                <c:pt idx="253">
                  <c:v>0.58686607435161031</c:v>
                </c:pt>
                <c:pt idx="254">
                  <c:v>0.59085433959204403</c:v>
                </c:pt>
                <c:pt idx="255">
                  <c:v>0.59485231185806464</c:v>
                </c:pt>
                <c:pt idx="256">
                  <c:v>0.59885995077503196</c:v>
                </c:pt>
                <c:pt idx="257">
                  <c:v>0.60287721596830635</c:v>
                </c:pt>
                <c:pt idx="258">
                  <c:v>0.60690406706324751</c:v>
                </c:pt>
                <c:pt idx="259">
                  <c:v>0.6109404636852156</c:v>
                </c:pt>
                <c:pt idx="260">
                  <c:v>0.61498636545957064</c:v>
                </c:pt>
                <c:pt idx="261">
                  <c:v>0.61904173201167279</c:v>
                </c:pt>
                <c:pt idx="262">
                  <c:v>0.62310652296688185</c:v>
                </c:pt>
                <c:pt idx="263">
                  <c:v>0.62718069795055786</c:v>
                </c:pt>
                <c:pt idx="264">
                  <c:v>0.63126421658806109</c:v>
                </c:pt>
                <c:pt idx="265">
                  <c:v>0.63535703850475134</c:v>
                </c:pt>
                <c:pt idx="266">
                  <c:v>0.63945912332598864</c:v>
                </c:pt>
                <c:pt idx="267">
                  <c:v>0.64357043067713349</c:v>
                </c:pt>
                <c:pt idx="268">
                  <c:v>0.6476909201835449</c:v>
                </c:pt>
                <c:pt idx="269">
                  <c:v>0.65182055147058382</c:v>
                </c:pt>
                <c:pt idx="270">
                  <c:v>0.65595928416360982</c:v>
                </c:pt>
                <c:pt idx="271">
                  <c:v>0.66010707788798317</c:v>
                </c:pt>
                <c:pt idx="272">
                  <c:v>0.66426389226906368</c:v>
                </c:pt>
                <c:pt idx="273">
                  <c:v>0.66842968693221161</c:v>
                </c:pt>
                <c:pt idx="274">
                  <c:v>0.67260442150278676</c:v>
                </c:pt>
                <c:pt idx="275">
                  <c:v>0.67678805560614919</c:v>
                </c:pt>
                <c:pt idx="276">
                  <c:v>0.68098054886765891</c:v>
                </c:pt>
                <c:pt idx="277">
                  <c:v>0.6851818609126763</c:v>
                </c:pt>
                <c:pt idx="278">
                  <c:v>0.68939195136656095</c:v>
                </c:pt>
                <c:pt idx="279">
                  <c:v>0.69361077985467301</c:v>
                </c:pt>
                <c:pt idx="280">
                  <c:v>0.69783830600237251</c:v>
                </c:pt>
                <c:pt idx="281">
                  <c:v>0.70207448943501971</c:v>
                </c:pt>
                <c:pt idx="282">
                  <c:v>0.7063192897779742</c:v>
                </c:pt>
                <c:pt idx="283">
                  <c:v>0.71057266665659624</c:v>
                </c:pt>
                <c:pt idx="284">
                  <c:v>0.71483457969624586</c:v>
                </c:pt>
                <c:pt idx="285">
                  <c:v>0.71910498852228333</c:v>
                </c:pt>
                <c:pt idx="286">
                  <c:v>0.72338385276006789</c:v>
                </c:pt>
                <c:pt idx="287">
                  <c:v>0.72767113203496048</c:v>
                </c:pt>
                <c:pt idx="288">
                  <c:v>0.73196678597232057</c:v>
                </c:pt>
                <c:pt idx="289">
                  <c:v>0.73627077419750853</c:v>
                </c:pt>
                <c:pt idx="290">
                  <c:v>0.74058305633588395</c:v>
                </c:pt>
                <c:pt idx="291">
                  <c:v>0.74490359201280743</c:v>
                </c:pt>
                <c:pt idx="292">
                  <c:v>0.74923234085363843</c:v>
                </c:pt>
                <c:pt idx="293">
                  <c:v>0.75356926248373723</c:v>
                </c:pt>
                <c:pt idx="294">
                  <c:v>0.75791431652846386</c:v>
                </c:pt>
                <c:pt idx="295">
                  <c:v>0.76226746261317835</c:v>
                </c:pt>
                <c:pt idx="296">
                  <c:v>0.76662866036324073</c:v>
                </c:pt>
                <c:pt idx="297">
                  <c:v>0.77099786940401105</c:v>
                </c:pt>
                <c:pt idx="298">
                  <c:v>0.775375049360849</c:v>
                </c:pt>
                <c:pt idx="299">
                  <c:v>0.7797601598591154</c:v>
                </c:pt>
                <c:pt idx="300">
                  <c:v>0.78415316052416939</c:v>
                </c:pt>
                <c:pt idx="301">
                  <c:v>0.78855401098137157</c:v>
                </c:pt>
                <c:pt idx="302">
                  <c:v>0.79296267085608152</c:v>
                </c:pt>
                <c:pt idx="303">
                  <c:v>0.79737909977365984</c:v>
                </c:pt>
                <c:pt idx="304">
                  <c:v>0.801803257359466</c:v>
                </c:pt>
                <c:pt idx="305">
                  <c:v>0.80623510323886038</c:v>
                </c:pt>
                <c:pt idx="306">
                  <c:v>0.81067459703720268</c:v>
                </c:pt>
                <c:pt idx="307">
                  <c:v>0.81512169837985327</c:v>
                </c:pt>
                <c:pt idx="308">
                  <c:v>0.81957636689217173</c:v>
                </c:pt>
                <c:pt idx="309">
                  <c:v>0.82403856219951899</c:v>
                </c:pt>
                <c:pt idx="310">
                  <c:v>0.82850824392725386</c:v>
                </c:pt>
                <c:pt idx="311">
                  <c:v>0.83298537170073739</c:v>
                </c:pt>
                <c:pt idx="312">
                  <c:v>0.83746990514532882</c:v>
                </c:pt>
                <c:pt idx="313">
                  <c:v>0.84196180388638897</c:v>
                </c:pt>
                <c:pt idx="314">
                  <c:v>0.84646102754927699</c:v>
                </c:pt>
                <c:pt idx="315">
                  <c:v>0.85096753575935391</c:v>
                </c:pt>
                <c:pt idx="316">
                  <c:v>0.85548128814197844</c:v>
                </c:pt>
                <c:pt idx="317">
                  <c:v>0.86000224432251227</c:v>
                </c:pt>
                <c:pt idx="318">
                  <c:v>0.86453036392631377</c:v>
                </c:pt>
                <c:pt idx="319">
                  <c:v>0.8690656065787441</c:v>
                </c:pt>
                <c:pt idx="320">
                  <c:v>0.87360793190516262</c:v>
                </c:pt>
                <c:pt idx="321">
                  <c:v>0.87815729953092991</c:v>
                </c:pt>
                <c:pt idx="322">
                  <c:v>0.88271366908140558</c:v>
                </c:pt>
                <c:pt idx="323">
                  <c:v>0.8872770001819501</c:v>
                </c:pt>
                <c:pt idx="324">
                  <c:v>0.89184725245792273</c:v>
                </c:pt>
                <c:pt idx="325">
                  <c:v>0.89642438553468418</c:v>
                </c:pt>
                <c:pt idx="326">
                  <c:v>0.90100835903759402</c:v>
                </c:pt>
                <c:pt idx="327">
                  <c:v>0.90559913259201297</c:v>
                </c:pt>
                <c:pt idx="328">
                  <c:v>0.91019666582330028</c:v>
                </c:pt>
                <c:pt idx="329">
                  <c:v>0.91480091835681654</c:v>
                </c:pt>
                <c:pt idx="330">
                  <c:v>0.91941184981792112</c:v>
                </c:pt>
                <c:pt idx="331">
                  <c:v>0.92402941983197484</c:v>
                </c:pt>
                <c:pt idx="332">
                  <c:v>0.92865358802433684</c:v>
                </c:pt>
                <c:pt idx="333">
                  <c:v>0.93328431402036804</c:v>
                </c:pt>
                <c:pt idx="334">
                  <c:v>0.93792155744542782</c:v>
                </c:pt>
                <c:pt idx="335">
                  <c:v>0.94256527792487677</c:v>
                </c:pt>
                <c:pt idx="336">
                  <c:v>0.94721543508407413</c:v>
                </c:pt>
                <c:pt idx="337">
                  <c:v>0.95187198854838106</c:v>
                </c:pt>
                <c:pt idx="338">
                  <c:v>0.95653489794315638</c:v>
                </c:pt>
                <c:pt idx="339">
                  <c:v>0.96120412289376078</c:v>
                </c:pt>
                <c:pt idx="340">
                  <c:v>0.96587962302555397</c:v>
                </c:pt>
                <c:pt idx="341">
                  <c:v>0.97056135796389653</c:v>
                </c:pt>
                <c:pt idx="342">
                  <c:v>0.97524928733414773</c:v>
                </c:pt>
                <c:pt idx="343">
                  <c:v>0.97994337076166849</c:v>
                </c:pt>
                <c:pt idx="344">
                  <c:v>0.98464356787181795</c:v>
                </c:pt>
                <c:pt idx="345">
                  <c:v>0.9893498382899566</c:v>
                </c:pt>
                <c:pt idx="346">
                  <c:v>0.99406214164144413</c:v>
                </c:pt>
                <c:pt idx="347">
                  <c:v>0.99878043755164114</c:v>
                </c:pt>
                <c:pt idx="348">
                  <c:v>1.0035046856459071</c:v>
                </c:pt>
                <c:pt idx="349">
                  <c:v>1.0082348455496026</c:v>
                </c:pt>
                <c:pt idx="350">
                  <c:v>1.012970876888087</c:v>
                </c:pt>
                <c:pt idx="351">
                  <c:v>1.0177127392867209</c:v>
                </c:pt>
                <c:pt idx="352">
                  <c:v>1.0224603923708639</c:v>
                </c:pt>
                <c:pt idx="353">
                  <c:v>1.027213795765876</c:v>
                </c:pt>
                <c:pt idx="354">
                  <c:v>1.0319729090971177</c:v>
                </c:pt>
                <c:pt idx="355">
                  <c:v>1.0367376919899489</c:v>
                </c:pt>
                <c:pt idx="356">
                  <c:v>1.0415081040697292</c:v>
                </c:pt>
                <c:pt idx="357">
                  <c:v>1.046284104961819</c:v>
                </c:pt>
                <c:pt idx="358">
                  <c:v>1.0510656542915782</c:v>
                </c:pt>
                <c:pt idx="359">
                  <c:v>1.0558527116843668</c:v>
                </c:pt>
                <c:pt idx="360">
                  <c:v>1.060645236765545</c:v>
                </c:pt>
                <c:pt idx="361">
                  <c:v>1.0654431891604728</c:v>
                </c:pt>
                <c:pt idx="362">
                  <c:v>1.0702465284945097</c:v>
                </c:pt>
                <c:pt idx="363">
                  <c:v>1.0750552143930165</c:v>
                </c:pt>
                <c:pt idx="364">
                  <c:v>1.0798692064813529</c:v>
                </c:pt>
                <c:pt idx="365">
                  <c:v>1.0846884643848789</c:v>
                </c:pt>
                <c:pt idx="366">
                  <c:v>1.089512947728954</c:v>
                </c:pt>
                <c:pt idx="367">
                  <c:v>1.0943426161389396</c:v>
                </c:pt>
                <c:pt idx="368">
                  <c:v>1.0991774292401943</c:v>
                </c:pt>
                <c:pt idx="369">
                  <c:v>1.1040173466580789</c:v>
                </c:pt>
                <c:pt idx="370">
                  <c:v>1.1088623280179533</c:v>
                </c:pt>
                <c:pt idx="371">
                  <c:v>1.1137123329451775</c:v>
                </c:pt>
                <c:pt idx="372">
                  <c:v>1.118567321065111</c:v>
                </c:pt>
                <c:pt idx="373">
                  <c:v>1.1234272520031148</c:v>
                </c:pt>
                <c:pt idx="374">
                  <c:v>1.1282920853845482</c:v>
                </c:pt>
                <c:pt idx="375">
                  <c:v>1.1331617808347718</c:v>
                </c:pt>
                <c:pt idx="376">
                  <c:v>1.1380362979791445</c:v>
                </c:pt>
                <c:pt idx="377">
                  <c:v>1.1429155964430278</c:v>
                </c:pt>
                <c:pt idx="378">
                  <c:v>1.1477996358517808</c:v>
                </c:pt>
                <c:pt idx="379">
                  <c:v>1.152688375830764</c:v>
                </c:pt>
                <c:pt idx="380">
                  <c:v>1.1575817760053368</c:v>
                </c:pt>
                <c:pt idx="381">
                  <c:v>1.1624797960008599</c:v>
                </c:pt>
                <c:pt idx="382">
                  <c:v>1.1673823954426927</c:v>
                </c:pt>
                <c:pt idx="383">
                  <c:v>1.1722895339561961</c:v>
                </c:pt>
                <c:pt idx="384">
                  <c:v>1.1772011711667292</c:v>
                </c:pt>
                <c:pt idx="385">
                  <c:v>1.1821172666996524</c:v>
                </c:pt>
                <c:pt idx="386">
                  <c:v>1.1870377801803256</c:v>
                </c:pt>
                <c:pt idx="387">
                  <c:v>1.1919626712341096</c:v>
                </c:pt>
                <c:pt idx="388">
                  <c:v>1.1968918994863631</c:v>
                </c:pt>
                <c:pt idx="389">
                  <c:v>1.2018254245624473</c:v>
                </c:pt>
                <c:pt idx="390">
                  <c:v>1.2067632060877214</c:v>
                </c:pt>
                <c:pt idx="391">
                  <c:v>1.211705203687546</c:v>
                </c:pt>
                <c:pt idx="392">
                  <c:v>1.2166513769872802</c:v>
                </c:pt>
                <c:pt idx="393">
                  <c:v>1.2216016856122858</c:v>
                </c:pt>
                <c:pt idx="394">
                  <c:v>1.2265560891879208</c:v>
                </c:pt>
                <c:pt idx="395">
                  <c:v>1.2315145473395468</c:v>
                </c:pt>
                <c:pt idx="396">
                  <c:v>1.2364770196925225</c:v>
                </c:pt>
                <c:pt idx="397">
                  <c:v>1.2414434658722093</c:v>
                </c:pt>
                <c:pt idx="398">
                  <c:v>1.2464138455039659</c:v>
                </c:pt>
                <c:pt idx="399">
                  <c:v>1.2513881182131537</c:v>
                </c:pt>
                <c:pt idx="400">
                  <c:v>1.2563662436251315</c:v>
                </c:pt>
                <c:pt idx="401">
                  <c:v>1.2613481813652601</c:v>
                </c:pt>
                <c:pt idx="402">
                  <c:v>1.2663338910588986</c:v>
                </c:pt>
                <c:pt idx="403">
                  <c:v>1.2713233323314084</c:v>
                </c:pt>
                <c:pt idx="404">
                  <c:v>1.276316464808148</c:v>
                </c:pt>
                <c:pt idx="405">
                  <c:v>1.2813132481144791</c:v>
                </c:pt>
                <c:pt idx="406">
                  <c:v>1.2863136418757606</c:v>
                </c:pt>
                <c:pt idx="407">
                  <c:v>1.2913176057173525</c:v>
                </c:pt>
                <c:pt idx="408">
                  <c:v>1.2963250992646149</c:v>
                </c:pt>
                <c:pt idx="409">
                  <c:v>1.3013360821429085</c:v>
                </c:pt>
                <c:pt idx="410">
                  <c:v>1.3063505139775924</c:v>
                </c:pt>
                <c:pt idx="411">
                  <c:v>1.3113683543940278</c:v>
                </c:pt>
                <c:pt idx="412">
                  <c:v>1.3163895630175733</c:v>
                </c:pt>
                <c:pt idx="413">
                  <c:v>1.3214140994735897</c:v>
                </c:pt>
                <c:pt idx="414">
                  <c:v>1.3264419233874369</c:v>
                </c:pt>
                <c:pt idx="415">
                  <c:v>1.3314729943844754</c:v>
                </c:pt>
                <c:pt idx="416">
                  <c:v>1.3365072720900641</c:v>
                </c:pt>
                <c:pt idx="417">
                  <c:v>1.3415447161295644</c:v>
                </c:pt>
                <c:pt idx="418">
                  <c:v>1.3465852861283352</c:v>
                </c:pt>
                <c:pt idx="419">
                  <c:v>1.3516289417117373</c:v>
                </c:pt>
                <c:pt idx="420">
                  <c:v>1.3566756425051298</c:v>
                </c:pt>
                <c:pt idx="421">
                  <c:v>1.361725348133874</c:v>
                </c:pt>
                <c:pt idx="422">
                  <c:v>1.3667780182233287</c:v>
                </c:pt>
                <c:pt idx="423">
                  <c:v>1.3718336123988548</c:v>
                </c:pt>
                <c:pt idx="424">
                  <c:v>1.3768920902858117</c:v>
                </c:pt>
                <c:pt idx="425">
                  <c:v>1.3819534115095604</c:v>
                </c:pt>
                <c:pt idx="426">
                  <c:v>1.3870175356954593</c:v>
                </c:pt>
                <c:pt idx="427">
                  <c:v>1.3920844224688698</c:v>
                </c:pt>
                <c:pt idx="428">
                  <c:v>1.3971540314551518</c:v>
                </c:pt>
                <c:pt idx="429">
                  <c:v>1.4022263222796645</c:v>
                </c:pt>
                <c:pt idx="430">
                  <c:v>1.4073012545677688</c:v>
                </c:pt>
                <c:pt idx="431">
                  <c:v>1.4123787879448242</c:v>
                </c:pt>
                <c:pt idx="432">
                  <c:v>1.4174588820361906</c:v>
                </c:pt>
                <c:pt idx="433">
                  <c:v>1.4225414964672292</c:v>
                </c:pt>
                <c:pt idx="434">
                  <c:v>1.4276265908632981</c:v>
                </c:pt>
                <c:pt idx="435">
                  <c:v>1.432714124849759</c:v>
                </c:pt>
                <c:pt idx="436">
                  <c:v>1.4378040580519711</c:v>
                </c:pt>
                <c:pt idx="437">
                  <c:v>1.4428963500952947</c:v>
                </c:pt>
                <c:pt idx="438">
                  <c:v>1.4479909606050896</c:v>
                </c:pt>
                <c:pt idx="439">
                  <c:v>1.4530878492067159</c:v>
                </c:pt>
                <c:pt idx="440">
                  <c:v>1.4581869755255339</c:v>
                </c:pt>
                <c:pt idx="441">
                  <c:v>1.4632882991869036</c:v>
                </c:pt>
                <c:pt idx="442">
                  <c:v>1.4683917798161843</c:v>
                </c:pt>
                <c:pt idx="443">
                  <c:v>1.4734973770387374</c:v>
                </c:pt>
                <c:pt idx="444">
                  <c:v>1.4786050504799213</c:v>
                </c:pt>
                <c:pt idx="445">
                  <c:v>1.483714759765097</c:v>
                </c:pt>
                <c:pt idx="446">
                  <c:v>1.4888264645196245</c:v>
                </c:pt>
                <c:pt idx="447">
                  <c:v>1.4939401243688635</c:v>
                </c:pt>
                <c:pt idx="448">
                  <c:v>1.4990556989381743</c:v>
                </c:pt>
                <c:pt idx="449">
                  <c:v>1.504173147852917</c:v>
                </c:pt>
                <c:pt idx="450">
                  <c:v>1.509292430738451</c:v>
                </c:pt>
                <c:pt idx="451">
                  <c:v>1.5144135072201372</c:v>
                </c:pt>
                <c:pt idx="452">
                  <c:v>1.519536336923335</c:v>
                </c:pt>
                <c:pt idx="453">
                  <c:v>1.5246608794734047</c:v>
                </c:pt>
                <c:pt idx="454">
                  <c:v>1.5297870944957062</c:v>
                </c:pt>
                <c:pt idx="455">
                  <c:v>1.5349149416155996</c:v>
                </c:pt>
                <c:pt idx="456">
                  <c:v>1.5400443804584447</c:v>
                </c:pt>
                <c:pt idx="457">
                  <c:v>1.5451753706496021</c:v>
                </c:pt>
                <c:pt idx="458">
                  <c:v>1.550307871814431</c:v>
                </c:pt>
                <c:pt idx="459">
                  <c:v>1.5554418435782924</c:v>
                </c:pt>
                <c:pt idx="460">
                  <c:v>1.5605772455665448</c:v>
                </c:pt>
                <c:pt idx="461">
                  <c:v>1.5657140374045504</c:v>
                </c:pt>
                <c:pt idx="462">
                  <c:v>1.5708521787176675</c:v>
                </c:pt>
                <c:pt idx="463">
                  <c:v>1.5759916291312568</c:v>
                </c:pt>
                <c:pt idx="464">
                  <c:v>1.5811323482706778</c:v>
                </c:pt>
                <c:pt idx="465">
                  <c:v>1.5862742957612916</c:v>
                </c:pt>
                <c:pt idx="466">
                  <c:v>1.5914174312284568</c:v>
                </c:pt>
                <c:pt idx="467">
                  <c:v>1.596561714297535</c:v>
                </c:pt>
                <c:pt idx="468">
                  <c:v>1.6017071045938849</c:v>
                </c:pt>
                <c:pt idx="469">
                  <c:v>1.6068535617428674</c:v>
                </c:pt>
                <c:pt idx="470">
                  <c:v>1.6120010453698415</c:v>
                </c:pt>
                <c:pt idx="471">
                  <c:v>1.6171495151001682</c:v>
                </c:pt>
                <c:pt idx="472">
                  <c:v>1.622298930559207</c:v>
                </c:pt>
                <c:pt idx="473">
                  <c:v>1.6274492513723187</c:v>
                </c:pt>
                <c:pt idx="474">
                  <c:v>1.6326004371648621</c:v>
                </c:pt>
                <c:pt idx="475">
                  <c:v>1.6377524475621985</c:v>
                </c:pt>
                <c:pt idx="476">
                  <c:v>1.6429052421896868</c:v>
                </c:pt>
                <c:pt idx="477">
                  <c:v>1.6480587806726876</c:v>
                </c:pt>
                <c:pt idx="478">
                  <c:v>1.6532130226365609</c:v>
                </c:pt>
                <c:pt idx="479">
                  <c:v>1.658367927706667</c:v>
                </c:pt>
                <c:pt idx="480">
                  <c:v>1.6635234555083649</c:v>
                </c:pt>
                <c:pt idx="481">
                  <c:v>1.6686795656670159</c:v>
                </c:pt>
                <c:pt idx="482">
                  <c:v>1.6738362178079795</c:v>
                </c:pt>
                <c:pt idx="483">
                  <c:v>1.6789933715566154</c:v>
                </c:pt>
                <c:pt idx="484">
                  <c:v>1.6841509865382833</c:v>
                </c:pt>
                <c:pt idx="485">
                  <c:v>1.6893090223783451</c:v>
                </c:pt>
                <c:pt idx="486">
                  <c:v>1.6944674387021588</c:v>
                </c:pt>
                <c:pt idx="487">
                  <c:v>1.6996261951350857</c:v>
                </c:pt>
                <c:pt idx="488">
                  <c:v>1.7047852513024844</c:v>
                </c:pt>
                <c:pt idx="489">
                  <c:v>1.7099445668297166</c:v>
                </c:pt>
                <c:pt idx="490">
                  <c:v>1.7151041013421411</c:v>
                </c:pt>
                <c:pt idx="491">
                  <c:v>1.720263814465119</c:v>
                </c:pt>
                <c:pt idx="492">
                  <c:v>1.7254236658240085</c:v>
                </c:pt>
                <c:pt idx="493">
                  <c:v>1.7305836150441722</c:v>
                </c:pt>
                <c:pt idx="494">
                  <c:v>1.7357436217509681</c:v>
                </c:pt>
                <c:pt idx="495">
                  <c:v>1.7409036455697569</c:v>
                </c:pt>
                <c:pt idx="496">
                  <c:v>1.7460636461258985</c:v>
                </c:pt>
                <c:pt idx="497">
                  <c:v>1.7512235830447533</c:v>
                </c:pt>
                <c:pt idx="498">
                  <c:v>1.7563834159516807</c:v>
                </c:pt>
                <c:pt idx="499">
                  <c:v>1.7615431044720415</c:v>
                </c:pt>
                <c:pt idx="500">
                  <c:v>1.7667026082311947</c:v>
                </c:pt>
                <c:pt idx="501">
                  <c:v>1.7718618868545013</c:v>
                </c:pt>
                <c:pt idx="502">
                  <c:v>1.7770208999673209</c:v>
                </c:pt>
                <c:pt idx="503">
                  <c:v>1.7821796071950138</c:v>
                </c:pt>
                <c:pt idx="504">
                  <c:v>1.7873379681629398</c:v>
                </c:pt>
                <c:pt idx="505">
                  <c:v>1.7924959424964588</c:v>
                </c:pt>
                <c:pt idx="506">
                  <c:v>1.7976534898209307</c:v>
                </c:pt>
                <c:pt idx="507">
                  <c:v>1.8028105697617163</c:v>
                </c:pt>
                <c:pt idx="508">
                  <c:v>1.8079671419441747</c:v>
                </c:pt>
                <c:pt idx="509">
                  <c:v>1.8131231659936664</c:v>
                </c:pt>
                <c:pt idx="510">
                  <c:v>1.8182786015355514</c:v>
                </c:pt>
                <c:pt idx="511">
                  <c:v>1.8234334081951897</c:v>
                </c:pt>
                <c:pt idx="512">
                  <c:v>1.8285875455979417</c:v>
                </c:pt>
                <c:pt idx="513">
                  <c:v>1.8337409733691665</c:v>
                </c:pt>
                <c:pt idx="514">
                  <c:v>1.8388936511342244</c:v>
                </c:pt>
                <c:pt idx="515">
                  <c:v>1.8440455385184762</c:v>
                </c:pt>
                <c:pt idx="516">
                  <c:v>1.8491965951472817</c:v>
                </c:pt>
                <c:pt idx="517">
                  <c:v>1.8543467806460001</c:v>
                </c:pt>
                <c:pt idx="518">
                  <c:v>1.8594960546399917</c:v>
                </c:pt>
                <c:pt idx="519">
                  <c:v>1.8646443767546175</c:v>
                </c:pt>
                <c:pt idx="520">
                  <c:v>1.8697917066152363</c:v>
                </c:pt>
                <c:pt idx="521">
                  <c:v>1.8749380038472088</c:v>
                </c:pt>
                <c:pt idx="522">
                  <c:v>1.880083228075895</c:v>
                </c:pt>
                <c:pt idx="523">
                  <c:v>1.8852273389266543</c:v>
                </c:pt>
                <c:pt idx="524">
                  <c:v>1.8903702960248479</c:v>
                </c:pt>
                <c:pt idx="525">
                  <c:v>1.8955120589958347</c:v>
                </c:pt>
                <c:pt idx="526">
                  <c:v>1.9006525874649753</c:v>
                </c:pt>
                <c:pt idx="527">
                  <c:v>1.9057918410576296</c:v>
                </c:pt>
                <c:pt idx="528">
                  <c:v>1.9109297793991571</c:v>
                </c:pt>
                <c:pt idx="529">
                  <c:v>1.9160663621149192</c:v>
                </c:pt>
                <c:pt idx="530">
                  <c:v>1.9212015488302743</c:v>
                </c:pt>
                <c:pt idx="531">
                  <c:v>1.9263352991705838</c:v>
                </c:pt>
                <c:pt idx="532">
                  <c:v>1.9314675727612065</c:v>
                </c:pt>
                <c:pt idx="533">
                  <c:v>1.9365983292275031</c:v>
                </c:pt>
                <c:pt idx="534">
                  <c:v>1.9417275281948345</c:v>
                </c:pt>
                <c:pt idx="535">
                  <c:v>1.9468551292885588</c:v>
                </c:pt>
                <c:pt idx="536">
                  <c:v>1.9519810921340373</c:v>
                </c:pt>
                <c:pt idx="537">
                  <c:v>1.9571053763566297</c:v>
                </c:pt>
                <c:pt idx="538">
                  <c:v>1.9622279415816961</c:v>
                </c:pt>
                <c:pt idx="539">
                  <c:v>1.9673487474345968</c:v>
                </c:pt>
                <c:pt idx="540">
                  <c:v>1.9724677535406909</c:v>
                </c:pt>
                <c:pt idx="541">
                  <c:v>1.9775849195253397</c:v>
                </c:pt>
                <c:pt idx="542">
                  <c:v>1.9827002050139022</c:v>
                </c:pt>
                <c:pt idx="543">
                  <c:v>1.9878135696317387</c:v>
                </c:pt>
                <c:pt idx="544">
                  <c:v>1.9929249730042093</c:v>
                </c:pt>
                <c:pt idx="545">
                  <c:v>1.9980343747566742</c:v>
                </c:pt>
                <c:pt idx="546">
                  <c:v>2.0031417345144931</c:v>
                </c:pt>
                <c:pt idx="547">
                  <c:v>2.008247011903026</c:v>
                </c:pt>
                <c:pt idx="548">
                  <c:v>2.0133501665476339</c:v>
                </c:pt>
                <c:pt idx="549">
                  <c:v>2.0184511580736757</c:v>
                </c:pt>
                <c:pt idx="550">
                  <c:v>2.0235499461065114</c:v>
                </c:pt>
                <c:pt idx="551">
                  <c:v>2.0286464902715013</c:v>
                </c:pt>
                <c:pt idx="552">
                  <c:v>2.0337407501940059</c:v>
                </c:pt>
                <c:pt idx="553">
                  <c:v>2.038832685499385</c:v>
                </c:pt>
                <c:pt idx="554">
                  <c:v>2.0439222558129977</c:v>
                </c:pt>
                <c:pt idx="555">
                  <c:v>2.0490094207602061</c:v>
                </c:pt>
                <c:pt idx="556">
                  <c:v>2.0540941399663675</c:v>
                </c:pt>
                <c:pt idx="557">
                  <c:v>2.059176373056844</c:v>
                </c:pt>
                <c:pt idx="558">
                  <c:v>2.0642560796569951</c:v>
                </c:pt>
                <c:pt idx="559">
                  <c:v>2.0693332193921807</c:v>
                </c:pt>
                <c:pt idx="560">
                  <c:v>2.0744077518877604</c:v>
                </c:pt>
                <c:pt idx="561">
                  <c:v>2.0794796367690949</c:v>
                </c:pt>
                <c:pt idx="562">
                  <c:v>2.0845488336615441</c:v>
                </c:pt>
                <c:pt idx="563">
                  <c:v>2.0896153021904675</c:v>
                </c:pt>
                <c:pt idx="564">
                  <c:v>2.0946790019812256</c:v>
                </c:pt>
                <c:pt idx="565">
                  <c:v>2.0997398926591786</c:v>
                </c:pt>
                <c:pt idx="566">
                  <c:v>2.1047979338496861</c:v>
                </c:pt>
                <c:pt idx="567">
                  <c:v>2.1098530851781088</c:v>
                </c:pt>
                <c:pt idx="568">
                  <c:v>2.1149053062698053</c:v>
                </c:pt>
                <c:pt idx="569">
                  <c:v>2.119954556750137</c:v>
                </c:pt>
                <c:pt idx="570">
                  <c:v>2.1250007962444637</c:v>
                </c:pt>
                <c:pt idx="571">
                  <c:v>2.1300439843781449</c:v>
                </c:pt>
                <c:pt idx="572">
                  <c:v>2.135084080776541</c:v>
                </c:pt>
                <c:pt idx="573">
                  <c:v>2.1401210450650119</c:v>
                </c:pt>
                <c:pt idx="574">
                  <c:v>2.1451548368689175</c:v>
                </c:pt>
                <c:pt idx="575">
                  <c:v>2.1501854158136182</c:v>
                </c:pt>
                <c:pt idx="576">
                  <c:v>2.155212741524474</c:v>
                </c:pt>
                <c:pt idx="577">
                  <c:v>2.1602367736268446</c:v>
                </c:pt>
                <c:pt idx="578">
                  <c:v>2.1652574717460902</c:v>
                </c:pt>
                <c:pt idx="579">
                  <c:v>2.1702747955075705</c:v>
                </c:pt>
                <c:pt idx="580">
                  <c:v>2.175288704536646</c:v>
                </c:pt>
                <c:pt idx="581">
                  <c:v>2.1802991584586762</c:v>
                </c:pt>
                <c:pt idx="582">
                  <c:v>2.1853061168990222</c:v>
                </c:pt>
                <c:pt idx="583">
                  <c:v>2.1903095394830432</c:v>
                </c:pt>
                <c:pt idx="584">
                  <c:v>2.195309385836099</c:v>
                </c:pt>
                <c:pt idx="585">
                  <c:v>2.2003056155835496</c:v>
                </c:pt>
                <c:pt idx="586">
                  <c:v>2.2052981883507559</c:v>
                </c:pt>
                <c:pt idx="587">
                  <c:v>2.2102870637630772</c:v>
                </c:pt>
                <c:pt idx="588">
                  <c:v>2.2152722014458739</c:v>
                </c:pt>
                <c:pt idx="589">
                  <c:v>2.2202535610245056</c:v>
                </c:pt>
                <c:pt idx="590">
                  <c:v>2.2252311021243329</c:v>
                </c:pt>
                <c:pt idx="591">
                  <c:v>2.2302047843707151</c:v>
                </c:pt>
                <c:pt idx="592">
                  <c:v>2.2351745673890129</c:v>
                </c:pt>
                <c:pt idx="593">
                  <c:v>2.2401404108045857</c:v>
                </c:pt>
                <c:pt idx="594">
                  <c:v>2.2451022742427944</c:v>
                </c:pt>
                <c:pt idx="595">
                  <c:v>2.250060117328998</c:v>
                </c:pt>
                <c:pt idx="596">
                  <c:v>2.2550138996885574</c:v>
                </c:pt>
                <c:pt idx="597">
                  <c:v>2.2599635809468319</c:v>
                </c:pt>
                <c:pt idx="598">
                  <c:v>2.2649091207291825</c:v>
                </c:pt>
                <c:pt idx="599">
                  <c:v>2.2698504786609677</c:v>
                </c:pt>
                <c:pt idx="600">
                  <c:v>2.2747876143675492</c:v>
                </c:pt>
                <c:pt idx="601">
                  <c:v>2.279720487474286</c:v>
                </c:pt>
                <c:pt idx="602">
                  <c:v>2.2846490576065381</c:v>
                </c:pt>
                <c:pt idx="603">
                  <c:v>2.2895732843896663</c:v>
                </c:pt>
                <c:pt idx="604">
                  <c:v>2.2944931274490297</c:v>
                </c:pt>
                <c:pt idx="605">
                  <c:v>2.2994085464099889</c:v>
                </c:pt>
                <c:pt idx="606">
                  <c:v>2.3043195008979036</c:v>
                </c:pt>
                <c:pt idx="607">
                  <c:v>2.3092259505381341</c:v>
                </c:pt>
                <c:pt idx="608">
                  <c:v>2.3141278549560411</c:v>
                </c:pt>
                <c:pt idx="609">
                  <c:v>2.3190251737769825</c:v>
                </c:pt>
                <c:pt idx="610">
                  <c:v>2.3239178666263207</c:v>
                </c:pt>
                <c:pt idx="611">
                  <c:v>2.328805893129414</c:v>
                </c:pt>
                <c:pt idx="612">
                  <c:v>2.3336892129116236</c:v>
                </c:pt>
                <c:pt idx="613">
                  <c:v>2.3385677855983085</c:v>
                </c:pt>
                <c:pt idx="614">
                  <c:v>2.3434415708148304</c:v>
                </c:pt>
                <c:pt idx="615">
                  <c:v>2.3483105281865471</c:v>
                </c:pt>
                <c:pt idx="616">
                  <c:v>2.3531746173388202</c:v>
                </c:pt>
                <c:pt idx="617">
                  <c:v>2.3580337978970092</c:v>
                </c:pt>
                <c:pt idx="618">
                  <c:v>2.362888029486474</c:v>
                </c:pt>
                <c:pt idx="619">
                  <c:v>2.3677372717325746</c:v>
                </c:pt>
                <c:pt idx="620">
                  <c:v>2.3725814842606714</c:v>
                </c:pt>
                <c:pt idx="621">
                  <c:v>2.3774206266961246</c:v>
                </c:pt>
                <c:pt idx="622">
                  <c:v>2.3822546586642934</c:v>
                </c:pt>
                <c:pt idx="623">
                  <c:v>2.387083539790539</c:v>
                </c:pt>
                <c:pt idx="624">
                  <c:v>2.3919072297002204</c:v>
                </c:pt>
                <c:pt idx="625">
                  <c:v>2.3967256880186976</c:v>
                </c:pt>
                <c:pt idx="626">
                  <c:v>2.4015388743713313</c:v>
                </c:pt>
                <c:pt idx="627">
                  <c:v>2.4063467483834815</c:v>
                </c:pt>
                <c:pt idx="628">
                  <c:v>2.4111492696805072</c:v>
                </c:pt>
                <c:pt idx="629">
                  <c:v>2.4159463978877698</c:v>
                </c:pt>
                <c:pt idx="630">
                  <c:v>2.4207380926306286</c:v>
                </c:pt>
                <c:pt idx="631">
                  <c:v>2.4255243135344431</c:v>
                </c:pt>
                <c:pt idx="632">
                  <c:v>2.4303050202245737</c:v>
                </c:pt>
                <c:pt idx="633">
                  <c:v>2.4350801723263817</c:v>
                </c:pt>
                <c:pt idx="634">
                  <c:v>2.4398497294652257</c:v>
                </c:pt>
                <c:pt idx="635">
                  <c:v>2.444613651266466</c:v>
                </c:pt>
                <c:pt idx="636">
                  <c:v>2.449371897355463</c:v>
                </c:pt>
                <c:pt idx="637">
                  <c:v>2.4541244273575762</c:v>
                </c:pt>
                <c:pt idx="638">
                  <c:v>2.4588712008981659</c:v>
                </c:pt>
                <c:pt idx="639">
                  <c:v>2.4636121776025921</c:v>
                </c:pt>
                <c:pt idx="640">
                  <c:v>2.4683473170962147</c:v>
                </c:pt>
                <c:pt idx="641">
                  <c:v>2.4730765790043945</c:v>
                </c:pt>
                <c:pt idx="642">
                  <c:v>2.4777999229524896</c:v>
                </c:pt>
                <c:pt idx="643">
                  <c:v>2.4825173085658623</c:v>
                </c:pt>
                <c:pt idx="644">
                  <c:v>2.4872286954698719</c:v>
                </c:pt>
                <c:pt idx="645">
                  <c:v>2.4919340432898776</c:v>
                </c:pt>
                <c:pt idx="646">
                  <c:v>2.49663331165124</c:v>
                </c:pt>
                <c:pt idx="647">
                  <c:v>2.5013264601793193</c:v>
                </c:pt>
                <c:pt idx="648">
                  <c:v>2.5060134484994752</c:v>
                </c:pt>
                <c:pt idx="649">
                  <c:v>2.5106942362370681</c:v>
                </c:pt>
                <c:pt idx="650">
                  <c:v>2.5153687830174571</c:v>
                </c:pt>
                <c:pt idx="651">
                  <c:v>2.5200370484660035</c:v>
                </c:pt>
                <c:pt idx="652">
                  <c:v>2.5246989922080663</c:v>
                </c:pt>
                <c:pt idx="653">
                  <c:v>2.5293545738690066</c:v>
                </c:pt>
                <c:pt idx="654">
                  <c:v>2.5340037530741837</c:v>
                </c:pt>
                <c:pt idx="655">
                  <c:v>2.5386464894489573</c:v>
                </c:pt>
                <c:pt idx="656">
                  <c:v>2.5432827426186879</c:v>
                </c:pt>
                <c:pt idx="657">
                  <c:v>2.5479124722087354</c:v>
                </c:pt>
                <c:pt idx="658">
                  <c:v>2.5525356378444601</c:v>
                </c:pt>
                <c:pt idx="659">
                  <c:v>2.557152199151222</c:v>
                </c:pt>
                <c:pt idx="660">
                  <c:v>2.5617621157543802</c:v>
                </c:pt>
                <c:pt idx="661">
                  <c:v>2.5663653472792962</c:v>
                </c:pt>
                <c:pt idx="662">
                  <c:v>2.5709618533513288</c:v>
                </c:pt>
                <c:pt idx="663">
                  <c:v>2.5755515935958391</c:v>
                </c:pt>
                <c:pt idx="664">
                  <c:v>2.5801345276381857</c:v>
                </c:pt>
                <c:pt idx="665">
                  <c:v>2.58471061510373</c:v>
                </c:pt>
                <c:pt idx="666">
                  <c:v>2.5892798156178314</c:v>
                </c:pt>
                <c:pt idx="667">
                  <c:v>2.5938420888058498</c:v>
                </c:pt>
                <c:pt idx="668">
                  <c:v>2.5983973942931455</c:v>
                </c:pt>
                <c:pt idx="669">
                  <c:v>2.6029456917050791</c:v>
                </c:pt>
                <c:pt idx="670">
                  <c:v>2.6074869406670089</c:v>
                </c:pt>
                <c:pt idx="671">
                  <c:v>2.6120211008042973</c:v>
                </c:pt>
                <c:pt idx="672">
                  <c:v>2.6165481317423018</c:v>
                </c:pt>
                <c:pt idx="673">
                  <c:v>2.6210679931063847</c:v>
                </c:pt>
                <c:pt idx="674">
                  <c:v>2.6255806445219041</c:v>
                </c:pt>
                <c:pt idx="675">
                  <c:v>2.6300860456142212</c:v>
                </c:pt>
                <c:pt idx="676">
                  <c:v>2.634584156008696</c:v>
                </c:pt>
                <c:pt idx="677">
                  <c:v>2.6390749353306884</c:v>
                </c:pt>
                <c:pt idx="678">
                  <c:v>2.6435583432055578</c:v>
                </c:pt>
                <c:pt idx="679">
                  <c:v>2.6480343392586647</c:v>
                </c:pt>
                <c:pt idx="680">
                  <c:v>2.6525028831153694</c:v>
                </c:pt>
                <c:pt idx="681">
                  <c:v>2.6569639344010314</c:v>
                </c:pt>
                <c:pt idx="682">
                  <c:v>2.661417452741011</c:v>
                </c:pt>
                <c:pt idx="683">
                  <c:v>2.6658633977606687</c:v>
                </c:pt>
                <c:pt idx="684">
                  <c:v>2.6703017290853639</c:v>
                </c:pt>
                <c:pt idx="685">
                  <c:v>2.6747324063404565</c:v>
                </c:pt>
                <c:pt idx="686">
                  <c:v>2.6791553891513074</c:v>
                </c:pt>
                <c:pt idx="687">
                  <c:v>2.6835706371432755</c:v>
                </c:pt>
                <c:pt idx="688">
                  <c:v>2.6879781099417208</c:v>
                </c:pt>
                <c:pt idx="689">
                  <c:v>2.6923777671720046</c:v>
                </c:pt>
                <c:pt idx="690">
                  <c:v>2.6967695684594863</c:v>
                </c:pt>
                <c:pt idx="691">
                  <c:v>2.7011534734295255</c:v>
                </c:pt>
                <c:pt idx="692">
                  <c:v>2.7055294417074824</c:v>
                </c:pt>
                <c:pt idx="693">
                  <c:v>2.7098974329187175</c:v>
                </c:pt>
                <c:pt idx="694">
                  <c:v>2.7142574066885894</c:v>
                </c:pt>
                <c:pt idx="695">
                  <c:v>2.718609322642461</c:v>
                </c:pt>
                <c:pt idx="696">
                  <c:v>2.7229531404056893</c:v>
                </c:pt>
                <c:pt idx="697">
                  <c:v>2.7272888196036362</c:v>
                </c:pt>
                <c:pt idx="698">
                  <c:v>2.7316163198616605</c:v>
                </c:pt>
                <c:pt idx="699">
                  <c:v>2.7359356008051234</c:v>
                </c:pt>
                <c:pt idx="700">
                  <c:v>2.740246622059384</c:v>
                </c:pt>
                <c:pt idx="701">
                  <c:v>2.7445493432498029</c:v>
                </c:pt>
                <c:pt idx="702">
                  <c:v>2.7488437240017394</c:v>
                </c:pt>
                <c:pt idx="703">
                  <c:v>2.7531297239405541</c:v>
                </c:pt>
                <c:pt idx="704">
                  <c:v>2.7574073026916075</c:v>
                </c:pt>
                <c:pt idx="705">
                  <c:v>2.761676419880259</c:v>
                </c:pt>
                <c:pt idx="706">
                  <c:v>2.7659370351318682</c:v>
                </c:pt>
                <c:pt idx="707">
                  <c:v>2.7701891080717962</c:v>
                </c:pt>
                <c:pt idx="708">
                  <c:v>2.7744325983254017</c:v>
                </c:pt>
                <c:pt idx="709">
                  <c:v>2.7786674655180459</c:v>
                </c:pt>
                <c:pt idx="710">
                  <c:v>2.7828936692750883</c:v>
                </c:pt>
                <c:pt idx="711">
                  <c:v>2.7871111692218897</c:v>
                </c:pt>
                <c:pt idx="712">
                  <c:v>2.7913199249838088</c:v>
                </c:pt>
                <c:pt idx="713">
                  <c:v>2.7955198961862058</c:v>
                </c:pt>
                <c:pt idx="714">
                  <c:v>2.7997110424544416</c:v>
                </c:pt>
                <c:pt idx="715">
                  <c:v>2.8038933234138765</c:v>
                </c:pt>
                <c:pt idx="716">
                  <c:v>2.8080666986898697</c:v>
                </c:pt>
                <c:pt idx="717">
                  <c:v>2.812231127907781</c:v>
                </c:pt>
                <c:pt idx="718">
                  <c:v>2.8163865706929698</c:v>
                </c:pt>
                <c:pt idx="719">
                  <c:v>2.8205329866707984</c:v>
                </c:pt>
                <c:pt idx="720">
                  <c:v>2.8246703354666249</c:v>
                </c:pt>
                <c:pt idx="721">
                  <c:v>2.8287985767058106</c:v>
                </c:pt>
                <c:pt idx="722">
                  <c:v>2.8329176700137149</c:v>
                </c:pt>
                <c:pt idx="723">
                  <c:v>2.8370275750156972</c:v>
                </c:pt>
                <c:pt idx="724">
                  <c:v>2.8411282513371181</c:v>
                </c:pt>
                <c:pt idx="725">
                  <c:v>2.8452196586033383</c:v>
                </c:pt>
                <c:pt idx="726">
                  <c:v>2.8493017564397167</c:v>
                </c:pt>
                <c:pt idx="727">
                  <c:v>2.8533745044716143</c:v>
                </c:pt>
                <c:pt idx="728">
                  <c:v>2.8574378623243906</c:v>
                </c:pt>
                <c:pt idx="729">
                  <c:v>2.8614917896234058</c:v>
                </c:pt>
                <c:pt idx="730">
                  <c:v>2.8655362459940186</c:v>
                </c:pt>
                <c:pt idx="731">
                  <c:v>2.8695711910615911</c:v>
                </c:pt>
                <c:pt idx="732">
                  <c:v>2.8735965844514824</c:v>
                </c:pt>
                <c:pt idx="733">
                  <c:v>2.8776123857890532</c:v>
                </c:pt>
                <c:pt idx="734">
                  <c:v>2.8816185546996618</c:v>
                </c:pt>
                <c:pt idx="735">
                  <c:v>2.8856150508086698</c:v>
                </c:pt>
                <c:pt idx="736">
                  <c:v>2.8896018337414375</c:v>
                </c:pt>
                <c:pt idx="737">
                  <c:v>2.8935788631233228</c:v>
                </c:pt>
                <c:pt idx="738">
                  <c:v>2.8975460985796877</c:v>
                </c:pt>
                <c:pt idx="739">
                  <c:v>2.9015034997358917</c:v>
                </c:pt>
                <c:pt idx="740">
                  <c:v>2.9054510262172952</c:v>
                </c:pt>
                <c:pt idx="741">
                  <c:v>2.9093886376492568</c:v>
                </c:pt>
                <c:pt idx="742">
                  <c:v>2.9133162936571382</c:v>
                </c:pt>
                <c:pt idx="743">
                  <c:v>2.9172339538662984</c:v>
                </c:pt>
                <c:pt idx="744">
                  <c:v>2.9211415779020973</c:v>
                </c:pt>
                <c:pt idx="745">
                  <c:v>2.9250391253898962</c:v>
                </c:pt>
                <c:pt idx="746">
                  <c:v>2.9289265559550541</c:v>
                </c:pt>
                <c:pt idx="747">
                  <c:v>2.9328038292229315</c:v>
                </c:pt>
                <c:pt idx="748">
                  <c:v>2.9366709048188877</c:v>
                </c:pt>
                <c:pt idx="749">
                  <c:v>2.9405277423682832</c:v>
                </c:pt>
                <c:pt idx="750">
                  <c:v>2.9443743014964783</c:v>
                </c:pt>
                <c:pt idx="751">
                  <c:v>2.9482105418288325</c:v>
                </c:pt>
                <c:pt idx="752">
                  <c:v>2.9520364229907052</c:v>
                </c:pt>
                <c:pt idx="753">
                  <c:v>2.9558519046074592</c:v>
                </c:pt>
                <c:pt idx="754">
                  <c:v>2.9596569463044511</c:v>
                </c:pt>
                <c:pt idx="755">
                  <c:v>2.9634515077070431</c:v>
                </c:pt>
                <c:pt idx="756">
                  <c:v>2.9672355484405939</c:v>
                </c:pt>
                <c:pt idx="757">
                  <c:v>2.9710090281304646</c:v>
                </c:pt>
                <c:pt idx="758">
                  <c:v>2.9747719064020153</c:v>
                </c:pt>
                <c:pt idx="759">
                  <c:v>2.9785241428806044</c:v>
                </c:pt>
                <c:pt idx="760">
                  <c:v>2.9822656971915942</c:v>
                </c:pt>
                <c:pt idx="761">
                  <c:v>2.9859965289603432</c:v>
                </c:pt>
                <c:pt idx="762">
                  <c:v>2.9897165978122109</c:v>
                </c:pt>
                <c:pt idx="763">
                  <c:v>2.9934258633725594</c:v>
                </c:pt>
                <c:pt idx="764">
                  <c:v>2.9971242852667475</c:v>
                </c:pt>
                <c:pt idx="765">
                  <c:v>3.0008118231201348</c:v>
                </c:pt>
                <c:pt idx="766">
                  <c:v>3.004488436558082</c:v>
                </c:pt>
                <c:pt idx="767">
                  <c:v>3.0081540852059483</c:v>
                </c:pt>
                <c:pt idx="768">
                  <c:v>3.0118087286890951</c:v>
                </c:pt>
                <c:pt idx="769">
                  <c:v>3.0154523266328819</c:v>
                </c:pt>
                <c:pt idx="770">
                  <c:v>3.0190848386626676</c:v>
                </c:pt>
                <c:pt idx="771">
                  <c:v>3.0227062244038141</c:v>
                </c:pt>
                <c:pt idx="772">
                  <c:v>3.0263164434816794</c:v>
                </c:pt>
                <c:pt idx="773">
                  <c:v>3.0299154555216257</c:v>
                </c:pt>
                <c:pt idx="774">
                  <c:v>3.0335032201490115</c:v>
                </c:pt>
                <c:pt idx="775">
                  <c:v>3.0370796969891964</c:v>
                </c:pt>
                <c:pt idx="776">
                  <c:v>3.0406448456675426</c:v>
                </c:pt>
                <c:pt idx="777">
                  <c:v>3.0441986258094076</c:v>
                </c:pt>
                <c:pt idx="778">
                  <c:v>3.0477409970401537</c:v>
                </c:pt>
                <c:pt idx="779">
                  <c:v>3.0512719189851394</c:v>
                </c:pt>
                <c:pt idx="780">
                  <c:v>3.0547913512697251</c:v>
                </c:pt>
                <c:pt idx="781">
                  <c:v>3.0582992535192703</c:v>
                </c:pt>
                <c:pt idx="782">
                  <c:v>3.0617955853591363</c:v>
                </c:pt>
                <c:pt idx="783">
                  <c:v>3.0652803064146816</c:v>
                </c:pt>
                <c:pt idx="784">
                  <c:v>3.068753376311268</c:v>
                </c:pt>
                <c:pt idx="785">
                  <c:v>3.0722147546742544</c:v>
                </c:pt>
                <c:pt idx="786">
                  <c:v>3.0756644011290013</c:v>
                </c:pt>
                <c:pt idx="787">
                  <c:v>3.0791022753008681</c:v>
                </c:pt>
                <c:pt idx="788">
                  <c:v>3.0825283368152148</c:v>
                </c:pt>
                <c:pt idx="789">
                  <c:v>3.0859425452974021</c:v>
                </c:pt>
                <c:pt idx="790">
                  <c:v>3.08934486037279</c:v>
                </c:pt>
                <c:pt idx="791">
                  <c:v>3.0927352416667375</c:v>
                </c:pt>
                <c:pt idx="792">
                  <c:v>3.0961136488046064</c:v>
                </c:pt>
                <c:pt idx="793">
                  <c:v>3.0994800414117547</c:v>
                </c:pt>
                <c:pt idx="794">
                  <c:v>3.1028343791135442</c:v>
                </c:pt>
                <c:pt idx="795">
                  <c:v>3.106176621535333</c:v>
                </c:pt>
                <c:pt idx="796">
                  <c:v>3.1095067283024829</c:v>
                </c:pt>
                <c:pt idx="797">
                  <c:v>3.1128246590403537</c:v>
                </c:pt>
                <c:pt idx="798">
                  <c:v>3.1161303733743044</c:v>
                </c:pt>
                <c:pt idx="799">
                  <c:v>3.1194238309296964</c:v>
                </c:pt>
                <c:pt idx="800">
                  <c:v>3.1227049913318883</c:v>
                </c:pt>
                <c:pt idx="801">
                  <c:v>3.1259738142062412</c:v>
                </c:pt>
                <c:pt idx="802">
                  <c:v>3.1292302591781143</c:v>
                </c:pt>
                <c:pt idx="803">
                  <c:v>3.1324742858728678</c:v>
                </c:pt>
                <c:pt idx="804">
                  <c:v>3.1357058539158627</c:v>
                </c:pt>
                <c:pt idx="805">
                  <c:v>3.1389249229324578</c:v>
                </c:pt>
                <c:pt idx="806">
                  <c:v>3.1421314525480142</c:v>
                </c:pt>
                <c:pt idx="807">
                  <c:v>3.1453254023878898</c:v>
                </c:pt>
                <c:pt idx="808">
                  <c:v>3.1485067320774478</c:v>
                </c:pt>
                <c:pt idx="809">
                  <c:v>3.1516754012420458</c:v>
                </c:pt>
                <c:pt idx="810">
                  <c:v>3.1548313695070456</c:v>
                </c:pt>
                <c:pt idx="811">
                  <c:v>3.1579745964978052</c:v>
                </c:pt>
                <c:pt idx="812">
                  <c:v>3.161105041839686</c:v>
                </c:pt>
                <c:pt idx="813">
                  <c:v>3.1642226651580478</c:v>
                </c:pt>
                <c:pt idx="814">
                  <c:v>3.1673274260782502</c:v>
                </c:pt>
                <c:pt idx="815">
                  <c:v>3.1704192842256536</c:v>
                </c:pt>
                <c:pt idx="816">
                  <c:v>3.1734981992256186</c:v>
                </c:pt>
                <c:pt idx="817">
                  <c:v>3.176564130703504</c:v>
                </c:pt>
                <c:pt idx="818">
                  <c:v>3.17961703828467</c:v>
                </c:pt>
                <c:pt idx="819">
                  <c:v>3.182656881594478</c:v>
                </c:pt>
                <c:pt idx="820">
                  <c:v>3.1856836202582857</c:v>
                </c:pt>
                <c:pt idx="821">
                  <c:v>3.188697213901456</c:v>
                </c:pt>
                <c:pt idx="822">
                  <c:v>3.1916976221493467</c:v>
                </c:pt>
                <c:pt idx="823">
                  <c:v>3.1946848046273191</c:v>
                </c:pt>
                <c:pt idx="824">
                  <c:v>3.1976587209607317</c:v>
                </c:pt>
                <c:pt idx="825">
                  <c:v>3.2006193307749458</c:v>
                </c:pt>
                <c:pt idx="826">
                  <c:v>3.2035665936953213</c:v>
                </c:pt>
                <c:pt idx="827">
                  <c:v>3.2065004693472181</c:v>
                </c:pt>
                <c:pt idx="828">
                  <c:v>3.2094209173559962</c:v>
                </c:pt>
                <c:pt idx="829">
                  <c:v>3.2123278973470155</c:v>
                </c:pt>
                <c:pt idx="830">
                  <c:v>3.2152213689456359</c:v>
                </c:pt>
                <c:pt idx="831">
                  <c:v>3.2181012917772178</c:v>
                </c:pt>
                <c:pt idx="832">
                  <c:v>3.2209676254671211</c:v>
                </c:pt>
                <c:pt idx="833">
                  <c:v>3.2238203296407062</c:v>
                </c:pt>
                <c:pt idx="834">
                  <c:v>3.2266593639233321</c:v>
                </c:pt>
                <c:pt idx="835">
                  <c:v>3.2294846879403591</c:v>
                </c:pt>
                <c:pt idx="836">
                  <c:v>3.2322962613171491</c:v>
                </c:pt>
                <c:pt idx="837">
                  <c:v>3.2350940436790596</c:v>
                </c:pt>
                <c:pt idx="838">
                  <c:v>3.2378779946514511</c:v>
                </c:pt>
                <c:pt idx="839">
                  <c:v>3.2406480738596848</c:v>
                </c:pt>
                <c:pt idx="840">
                  <c:v>3.2434042409291202</c:v>
                </c:pt>
                <c:pt idx="841">
                  <c:v>3.2461464554851167</c:v>
                </c:pt>
                <c:pt idx="842">
                  <c:v>3.2488746771530348</c:v>
                </c:pt>
                <c:pt idx="843">
                  <c:v>3.2515888655582348</c:v>
                </c:pt>
                <c:pt idx="844">
                  <c:v>3.2542889803260771</c:v>
                </c:pt>
                <c:pt idx="845">
                  <c:v>3.2569749810819202</c:v>
                </c:pt>
                <c:pt idx="846">
                  <c:v>3.2596468274511254</c:v>
                </c:pt>
                <c:pt idx="847">
                  <c:v>3.2623044790590519</c:v>
                </c:pt>
                <c:pt idx="848">
                  <c:v>3.2649478955310602</c:v>
                </c:pt>
                <c:pt idx="849">
                  <c:v>3.2675770364925114</c:v>
                </c:pt>
                <c:pt idx="850">
                  <c:v>3.2701918615687635</c:v>
                </c:pt>
                <c:pt idx="851">
                  <c:v>3.2727923303851769</c:v>
                </c:pt>
                <c:pt idx="852">
                  <c:v>3.2753784025671129</c:v>
                </c:pt>
                <c:pt idx="853">
                  <c:v>3.2779500377399309</c:v>
                </c:pt>
                <c:pt idx="854">
                  <c:v>3.2805071955289904</c:v>
                </c:pt>
                <c:pt idx="855">
                  <c:v>3.2830498355596527</c:v>
                </c:pt>
                <c:pt idx="856">
                  <c:v>3.2855779174572763</c:v>
                </c:pt>
                <c:pt idx="857">
                  <c:v>3.2880914008472217</c:v>
                </c:pt>
                <c:pt idx="858">
                  <c:v>3.2905902453548492</c:v>
                </c:pt>
                <c:pt idx="859">
                  <c:v>3.2930744106055192</c:v>
                </c:pt>
                <c:pt idx="860">
                  <c:v>3.2955438562245911</c:v>
                </c:pt>
                <c:pt idx="861">
                  <c:v>3.2979985418374245</c:v>
                </c:pt>
                <c:pt idx="862">
                  <c:v>3.3004384270693814</c:v>
                </c:pt>
                <c:pt idx="863">
                  <c:v>3.3028634715458187</c:v>
                </c:pt>
                <c:pt idx="864">
                  <c:v>3.3052736348920995</c:v>
                </c:pt>
                <c:pt idx="865">
                  <c:v>3.3076688767335813</c:v>
                </c:pt>
                <c:pt idx="866">
                  <c:v>3.3100491566956265</c:v>
                </c:pt>
                <c:pt idx="867">
                  <c:v>3.312414434403594</c:v>
                </c:pt>
                <c:pt idx="868">
                  <c:v>3.3147646694828428</c:v>
                </c:pt>
                <c:pt idx="869">
                  <c:v>3.3170998215587351</c:v>
                </c:pt>
                <c:pt idx="870">
                  <c:v>3.3194198502566286</c:v>
                </c:pt>
                <c:pt idx="871">
                  <c:v>3.3217247152018845</c:v>
                </c:pt>
                <c:pt idx="872">
                  <c:v>3.3240143760198633</c:v>
                </c:pt>
                <c:pt idx="873">
                  <c:v>3.3262887923359243</c:v>
                </c:pt>
                <c:pt idx="874">
                  <c:v>3.3285479237754276</c:v>
                </c:pt>
                <c:pt idx="875">
                  <c:v>3.3307917299637335</c:v>
                </c:pt>
                <c:pt idx="876">
                  <c:v>3.3330201705262024</c:v>
                </c:pt>
                <c:pt idx="877">
                  <c:v>3.3352332050881928</c:v>
                </c:pt>
                <c:pt idx="878">
                  <c:v>3.337430793275066</c:v>
                </c:pt>
                <c:pt idx="879">
                  <c:v>3.3396128947121824</c:v>
                </c:pt>
                <c:pt idx="880">
                  <c:v>3.3417794690249005</c:v>
                </c:pt>
                <c:pt idx="881">
                  <c:v>3.3439304758385822</c:v>
                </c:pt>
                <c:pt idx="882">
                  <c:v>3.3460658747785859</c:v>
                </c:pt>
                <c:pt idx="883">
                  <c:v>3.3481856254702724</c:v>
                </c:pt>
                <c:pt idx="884">
                  <c:v>3.3502896875390009</c:v>
                </c:pt>
                <c:pt idx="885">
                  <c:v>3.352378020610133</c:v>
                </c:pt>
                <c:pt idx="886">
                  <c:v>3.3544505843090278</c:v>
                </c:pt>
                <c:pt idx="887">
                  <c:v>3.3565073382610446</c:v>
                </c:pt>
                <c:pt idx="888">
                  <c:v>3.3585482420915453</c:v>
                </c:pt>
                <c:pt idx="889">
                  <c:v>3.3605732554258876</c:v>
                </c:pt>
                <c:pt idx="890">
                  <c:v>3.3625823378894335</c:v>
                </c:pt>
                <c:pt idx="891">
                  <c:v>3.3645754491075417</c:v>
                </c:pt>
                <c:pt idx="892">
                  <c:v>3.3665525487055739</c:v>
                </c:pt>
                <c:pt idx="893">
                  <c:v>3.3685135963088877</c:v>
                </c:pt>
                <c:pt idx="894">
                  <c:v>3.3704585515428445</c:v>
                </c:pt>
                <c:pt idx="895">
                  <c:v>3.372387374032805</c:v>
                </c:pt>
                <c:pt idx="896">
                  <c:v>3.3743000234041283</c:v>
                </c:pt>
                <c:pt idx="897">
                  <c:v>3.3761964592821747</c:v>
                </c:pt>
                <c:pt idx="898">
                  <c:v>3.3780766412923038</c:v>
                </c:pt>
                <c:pt idx="899">
                  <c:v>3.3799405290598763</c:v>
                </c:pt>
                <c:pt idx="900">
                  <c:v>3.3817880822102517</c:v>
                </c:pt>
                <c:pt idx="901">
                  <c:v>3.3836192603687896</c:v>
                </c:pt>
                <c:pt idx="902">
                  <c:v>3.3854340231608515</c:v>
                </c:pt>
                <c:pt idx="903">
                  <c:v>3.3872323302117966</c:v>
                </c:pt>
                <c:pt idx="904">
                  <c:v>3.3890141411469843</c:v>
                </c:pt>
                <c:pt idx="905">
                  <c:v>3.390779415591775</c:v>
                </c:pt>
                <c:pt idx="906">
                  <c:v>3.3925281131715295</c:v>
                </c:pt>
                <c:pt idx="907">
                  <c:v>3.3942601935116072</c:v>
                </c:pt>
                <c:pt idx="908">
                  <c:v>3.3959756162373682</c:v>
                </c:pt>
                <c:pt idx="909">
                  <c:v>3.3976743409741728</c:v>
                </c:pt>
                <c:pt idx="910">
                  <c:v>3.3993563273473799</c:v>
                </c:pt>
                <c:pt idx="911">
                  <c:v>3.4010215349823505</c:v>
                </c:pt>
                <c:pt idx="912">
                  <c:v>3.4026699235044449</c:v>
                </c:pt>
                <c:pt idx="913">
                  <c:v>3.4043014525390221</c:v>
                </c:pt>
                <c:pt idx="914">
                  <c:v>3.4059160817114433</c:v>
                </c:pt>
                <c:pt idx="915">
                  <c:v>3.4075137706470682</c:v>
                </c:pt>
                <c:pt idx="916">
                  <c:v>3.4090944789712561</c:v>
                </c:pt>
                <c:pt idx="917">
                  <c:v>3.4106581663093682</c:v>
                </c:pt>
                <c:pt idx="918">
                  <c:v>3.4122047922867629</c:v>
                </c:pt>
                <c:pt idx="919">
                  <c:v>3.4137343165288017</c:v>
                </c:pt>
                <c:pt idx="920">
                  <c:v>3.4152466986608432</c:v>
                </c:pt>
                <c:pt idx="921">
                  <c:v>3.4167418983082496</c:v>
                </c:pt>
                <c:pt idx="922">
                  <c:v>3.418219875096379</c:v>
                </c:pt>
                <c:pt idx="923">
                  <c:v>3.4196805886505919</c:v>
                </c:pt>
                <c:pt idx="924">
                  <c:v>3.4211239985962489</c:v>
                </c:pt>
                <c:pt idx="925">
                  <c:v>3.4225500645587097</c:v>
                </c:pt>
                <c:pt idx="926">
                  <c:v>3.4239587461633336</c:v>
                </c:pt>
                <c:pt idx="927">
                  <c:v>3.4253500030354815</c:v>
                </c:pt>
                <c:pt idx="928">
                  <c:v>3.4267237948005134</c:v>
                </c:pt>
                <c:pt idx="929">
                  <c:v>3.428080081083789</c:v>
                </c:pt>
                <c:pt idx="930">
                  <c:v>3.4294188215106689</c:v>
                </c:pt>
                <c:pt idx="931">
                  <c:v>3.430739975706512</c:v>
                </c:pt>
                <c:pt idx="932">
                  <c:v>3.4320435032966787</c:v>
                </c:pt>
                <c:pt idx="933">
                  <c:v>3.4333293639065303</c:v>
                </c:pt>
                <c:pt idx="934">
                  <c:v>3.4345975171614254</c:v>
                </c:pt>
                <c:pt idx="935">
                  <c:v>3.4358479226867247</c:v>
                </c:pt>
                <c:pt idx="936">
                  <c:v>3.4370805401077869</c:v>
                </c:pt>
                <c:pt idx="937">
                  <c:v>3.438295329049974</c:v>
                </c:pt>
                <c:pt idx="938">
                  <c:v>3.4394922491386453</c:v>
                </c:pt>
                <c:pt idx="939">
                  <c:v>3.44067125999916</c:v>
                </c:pt>
                <c:pt idx="940">
                  <c:v>3.4418323212568795</c:v>
                </c:pt>
                <c:pt idx="941">
                  <c:v>3.4429753925371633</c:v>
                </c:pt>
                <c:pt idx="942">
                  <c:v>3.44410043346537</c:v>
                </c:pt>
                <c:pt idx="943">
                  <c:v>3.4452074036668616</c:v>
                </c:pt>
                <c:pt idx="944">
                  <c:v>3.4462962627669977</c:v>
                </c:pt>
                <c:pt idx="945">
                  <c:v>3.4473669703911374</c:v>
                </c:pt>
                <c:pt idx="946">
                  <c:v>3.4484194861646418</c:v>
                </c:pt>
                <c:pt idx="947">
                  <c:v>3.4494537697128704</c:v>
                </c:pt>
                <c:pt idx="948">
                  <c:v>3.4504697806611833</c:v>
                </c:pt>
                <c:pt idx="949">
                  <c:v>3.4514674786349406</c:v>
                </c:pt>
                <c:pt idx="950">
                  <c:v>3.4524468232595016</c:v>
                </c:pt>
                <c:pt idx="951">
                  <c:v>3.4534077741602269</c:v>
                </c:pt>
                <c:pt idx="952">
                  <c:v>3.4543502909624779</c:v>
                </c:pt>
                <c:pt idx="953">
                  <c:v>3.4552743332916123</c:v>
                </c:pt>
                <c:pt idx="954">
                  <c:v>3.4561798607729908</c:v>
                </c:pt>
                <c:pt idx="955">
                  <c:v>3.4570668330319747</c:v>
                </c:pt>
                <c:pt idx="956">
                  <c:v>3.4579352096939227</c:v>
                </c:pt>
                <c:pt idx="957">
                  <c:v>3.4587849503841954</c:v>
                </c:pt>
                <c:pt idx="958">
                  <c:v>3.4596160147281525</c:v>
                </c:pt>
                <c:pt idx="959">
                  <c:v>3.4604283623511543</c:v>
                </c:pt>
                <c:pt idx="960">
                  <c:v>3.4612219528785606</c:v>
                </c:pt>
                <c:pt idx="961">
                  <c:v>3.461996745935731</c:v>
                </c:pt>
                <c:pt idx="962">
                  <c:v>3.4627527011480268</c:v>
                </c:pt>
                <c:pt idx="963">
                  <c:v>3.4634897781408065</c:v>
                </c:pt>
                <c:pt idx="964">
                  <c:v>3.4642079365394318</c:v>
                </c:pt>
                <c:pt idx="965">
                  <c:v>3.4649071359692614</c:v>
                </c:pt>
                <c:pt idx="966">
                  <c:v>3.4655873360556555</c:v>
                </c:pt>
                <c:pt idx="967">
                  <c:v>3.4662484964239741</c:v>
                </c:pt>
                <c:pt idx="968">
                  <c:v>3.4668905766995777</c:v>
                </c:pt>
                <c:pt idx="969">
                  <c:v>3.4675135365078269</c:v>
                </c:pt>
                <c:pt idx="970">
                  <c:v>3.4681173354740804</c:v>
                </c:pt>
                <c:pt idx="971">
                  <c:v>3.468701933223699</c:v>
                </c:pt>
                <c:pt idx="972">
                  <c:v>3.4692672893820422</c:v>
                </c:pt>
                <c:pt idx="973">
                  <c:v>3.4698133635744708</c:v>
                </c:pt>
                <c:pt idx="974">
                  <c:v>3.4703401154263438</c:v>
                </c:pt>
                <c:pt idx="975">
                  <c:v>3.4708475045630216</c:v>
                </c:pt>
                <c:pt idx="976">
                  <c:v>3.4713354906098641</c:v>
                </c:pt>
                <c:pt idx="977">
                  <c:v>3.4718040331922326</c:v>
                </c:pt>
                <c:pt idx="978">
                  <c:v>3.4722530919354857</c:v>
                </c:pt>
                <c:pt idx="979">
                  <c:v>3.4726826264649842</c:v>
                </c:pt>
                <c:pt idx="980">
                  <c:v>3.4730925964060875</c:v>
                </c:pt>
                <c:pt idx="981">
                  <c:v>3.473482961384156</c:v>
                </c:pt>
                <c:pt idx="982">
                  <c:v>3.4738536810245493</c:v>
                </c:pt>
                <c:pt idx="983">
                  <c:v>3.4742047149526281</c:v>
                </c:pt>
                <c:pt idx="984">
                  <c:v>3.4745360227937518</c:v>
                </c:pt>
                <c:pt idx="985">
                  <c:v>3.4748475641732814</c:v>
                </c:pt>
                <c:pt idx="986">
                  <c:v>3.4751392987165755</c:v>
                </c:pt>
                <c:pt idx="987">
                  <c:v>3.4754111860489951</c:v>
                </c:pt>
                <c:pt idx="988">
                  <c:v>3.4756631857959008</c:v>
                </c:pt>
                <c:pt idx="989">
                  <c:v>3.4758952575826507</c:v>
                </c:pt>
                <c:pt idx="990">
                  <c:v>3.4761073610346065</c:v>
                </c:pt>
                <c:pt idx="991">
                  <c:v>3.4762994557771276</c:v>
                </c:pt>
                <c:pt idx="992">
                  <c:v>3.4764715014355736</c:v>
                </c:pt>
                <c:pt idx="993">
                  <c:v>3.4766234576353057</c:v>
                </c:pt>
                <c:pt idx="994">
                  <c:v>3.4767552840016829</c:v>
                </c:pt>
                <c:pt idx="995">
                  <c:v>3.4768669401600656</c:v>
                </c:pt>
                <c:pt idx="996">
                  <c:v>3.4769583857358137</c:v>
                </c:pt>
                <c:pt idx="997">
                  <c:v>3.4770295803542877</c:v>
                </c:pt>
                <c:pt idx="998">
                  <c:v>3.4770804836408473</c:v>
                </c:pt>
                <c:pt idx="999">
                  <c:v>3.4771110552208522</c:v>
                </c:pt>
                <c:pt idx="1000">
                  <c:v>3.4771212547196626</c:v>
                </c:pt>
                <c:pt idx="1001">
                  <c:v>3.4771212547196626</c:v>
                </c:pt>
                <c:pt idx="1002">
                  <c:v>3.4771212547196626</c:v>
                </c:pt>
                <c:pt idx="1003">
                  <c:v>3.4771212547196626</c:v>
                </c:pt>
                <c:pt idx="1004">
                  <c:v>3.4771212547196626</c:v>
                </c:pt>
                <c:pt idx="1005">
                  <c:v>3.4771212547196626</c:v>
                </c:pt>
                <c:pt idx="1006">
                  <c:v>3.4771212547196626</c:v>
                </c:pt>
                <c:pt idx="1007">
                  <c:v>3.4771212547196626</c:v>
                </c:pt>
                <c:pt idx="1008">
                  <c:v>3.4771212547196626</c:v>
                </c:pt>
                <c:pt idx="1009">
                  <c:v>3.4771212547196626</c:v>
                </c:pt>
                <c:pt idx="1010">
                  <c:v>3.4771212547196626</c:v>
                </c:pt>
                <c:pt idx="1011">
                  <c:v>3.4771212547196626</c:v>
                </c:pt>
                <c:pt idx="1012">
                  <c:v>3.4771212547196626</c:v>
                </c:pt>
                <c:pt idx="1013">
                  <c:v>3.4771212547196626</c:v>
                </c:pt>
                <c:pt idx="1014">
                  <c:v>3.4771212547196626</c:v>
                </c:pt>
                <c:pt idx="1015">
                  <c:v>3.4771212547196626</c:v>
                </c:pt>
                <c:pt idx="1016">
                  <c:v>3.4771212547196626</c:v>
                </c:pt>
                <c:pt idx="1017">
                  <c:v>3.4771212547196626</c:v>
                </c:pt>
                <c:pt idx="1018">
                  <c:v>3.4771212547196626</c:v>
                </c:pt>
                <c:pt idx="1019">
                  <c:v>3.4771212547196626</c:v>
                </c:pt>
                <c:pt idx="1020">
                  <c:v>3.4771212547196626</c:v>
                </c:pt>
                <c:pt idx="1021">
                  <c:v>3.4771212547196626</c:v>
                </c:pt>
                <c:pt idx="1022">
                  <c:v>3.4771212547196626</c:v>
                </c:pt>
                <c:pt idx="1023">
                  <c:v>3.4771212547196626</c:v>
                </c:pt>
                <c:pt idx="1024">
                  <c:v>3.4771212547196626</c:v>
                </c:pt>
                <c:pt idx="1025">
                  <c:v>3.4771212547196626</c:v>
                </c:pt>
                <c:pt idx="1026">
                  <c:v>3.4771212547196626</c:v>
                </c:pt>
                <c:pt idx="1027">
                  <c:v>3.4771212547196626</c:v>
                </c:pt>
                <c:pt idx="1028">
                  <c:v>3.4771212547196626</c:v>
                </c:pt>
                <c:pt idx="1029">
                  <c:v>3.4771212547196626</c:v>
                </c:pt>
                <c:pt idx="1030">
                  <c:v>3.4771212547196626</c:v>
                </c:pt>
                <c:pt idx="1031">
                  <c:v>3.4771212547196626</c:v>
                </c:pt>
                <c:pt idx="1032">
                  <c:v>3.4771212547196626</c:v>
                </c:pt>
                <c:pt idx="1033">
                  <c:v>3.4771212547196626</c:v>
                </c:pt>
                <c:pt idx="1034">
                  <c:v>3.4771212547196626</c:v>
                </c:pt>
                <c:pt idx="1035">
                  <c:v>3.4771212547196626</c:v>
                </c:pt>
                <c:pt idx="1036">
                  <c:v>3.4771212547196626</c:v>
                </c:pt>
                <c:pt idx="1037">
                  <c:v>3.4771212547196626</c:v>
                </c:pt>
                <c:pt idx="1038">
                  <c:v>3.4771212547196626</c:v>
                </c:pt>
                <c:pt idx="1039">
                  <c:v>3.4771212547196626</c:v>
                </c:pt>
                <c:pt idx="1040">
                  <c:v>3.4771212547196626</c:v>
                </c:pt>
                <c:pt idx="1041">
                  <c:v>3.4771212547196626</c:v>
                </c:pt>
                <c:pt idx="1042">
                  <c:v>3.4771212547196626</c:v>
                </c:pt>
                <c:pt idx="1043">
                  <c:v>3.4771212547196626</c:v>
                </c:pt>
                <c:pt idx="1044">
                  <c:v>3.4771212547196626</c:v>
                </c:pt>
                <c:pt idx="1045">
                  <c:v>3.4771212547196626</c:v>
                </c:pt>
                <c:pt idx="1046">
                  <c:v>3.4771212547196626</c:v>
                </c:pt>
                <c:pt idx="1047">
                  <c:v>3.4771212547196626</c:v>
                </c:pt>
                <c:pt idx="1048">
                  <c:v>3.4771212547196626</c:v>
                </c:pt>
                <c:pt idx="1049">
                  <c:v>3.4771212547196626</c:v>
                </c:pt>
                <c:pt idx="1050">
                  <c:v>3.4771212547196626</c:v>
                </c:pt>
              </c:numCache>
            </c:numRef>
          </c:yVal>
          <c:smooth val="0"/>
          <c:extLst>
            <c:ext xmlns:c16="http://schemas.microsoft.com/office/drawing/2014/chart" uri="{C3380CC4-5D6E-409C-BE32-E72D297353CC}">
              <c16:uniqueId val="{00000006-9234-4612-98F3-3CA43E50E980}"/>
            </c:ext>
          </c:extLst>
        </c:ser>
        <c:dLbls>
          <c:showLegendKey val="0"/>
          <c:showVal val="0"/>
          <c:showCatName val="0"/>
          <c:showSerName val="0"/>
          <c:showPercent val="0"/>
          <c:showBubbleSize val="0"/>
        </c:dLbls>
        <c:axId val="1292577295"/>
        <c:axId val="1296221023"/>
        <c:extLst>
          <c:ext xmlns:c15="http://schemas.microsoft.com/office/drawing/2012/chart" uri="{02D57815-91ED-43cb-92C2-25804820EDAC}">
            <c15:filteredScatterSeries>
              <c15:ser>
                <c:idx val="0"/>
                <c:order val="2"/>
                <c:tx>
                  <c:v>Interpolated Log(Plants)</c:v>
                </c:tx>
                <c:marker>
                  <c:symbol val="none"/>
                </c:marker>
                <c:xVal>
                  <c:numRef>
                    <c:extLst>
                      <c:ext uri="{02D57815-91ED-43cb-92C2-25804820EDAC}">
                        <c15:formulaRef>
                          <c15:sqref>Sheet1!$X$8:$X$108</c15:sqref>
                        </c15:formulaRef>
                      </c:ext>
                    </c:extLst>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extLst>
                      <c:ext uri="{02D57815-91ED-43cb-92C2-25804820EDAC}">
                        <c15:formulaRef>
                          <c15:sqref>Sheet1!$Y$8:$Y$108</c15:sqref>
                        </c15:formulaRef>
                      </c:ext>
                    </c:extLst>
                    <c:numCache>
                      <c:formatCode>0.0000</c:formatCode>
                      <c:ptCount val="101"/>
                      <c:pt idx="0">
                        <c:v>0</c:v>
                      </c:pt>
                      <c:pt idx="1">
                        <c:v>7.5121784085380158E-2</c:v>
                      </c:pt>
                      <c:pt idx="2">
                        <c:v>0.15006816355113517</c:v>
                      </c:pt>
                      <c:pt idx="3">
                        <c:v>0.22488180575944197</c:v>
                      </c:pt>
                      <c:pt idx="4">
                        <c:v>0.29957741589113585</c:v>
                      </c:pt>
                      <c:pt idx="5">
                        <c:v>0.37416247178044176</c:v>
                      </c:pt>
                      <c:pt idx="6">
                        <c:v>0.44864117878629567</c:v>
                      </c:pt>
                      <c:pt idx="7">
                        <c:v>0.52301587399255722</c:v>
                      </c:pt>
                      <c:pt idx="8">
                        <c:v>0.59728765413848506</c:v>
                      </c:pt>
                      <c:pt idx="9">
                        <c:v>0.67145677161520023</c:v>
                      </c:pt>
                      <c:pt idx="10">
                        <c:v>0.74552280341850352</c:v>
                      </c:pt>
                      <c:pt idx="11">
                        <c:v>0.81948478071914033</c:v>
                      </c:pt>
                      <c:pt idx="12">
                        <c:v>0.89334119861775996</c:v>
                      </c:pt>
                      <c:pt idx="13">
                        <c:v>0.96709029898160948</c:v>
                      </c:pt>
                      <c:pt idx="14">
                        <c:v>1.0407297848565371</c:v>
                      </c:pt>
                      <c:pt idx="15">
                        <c:v>1.1142570008970425</c:v>
                      </c:pt>
                      <c:pt idx="16">
                        <c:v>1.1876689094044997</c:v>
                      </c:pt>
                      <c:pt idx="17">
                        <c:v>1.2609621164882661</c:v>
                      </c:pt>
                      <c:pt idx="18">
                        <c:v>1.3341327162194341</c:v>
                      </c:pt>
                      <c:pt idx="19">
                        <c:v>1.4071766379057171</c:v>
                      </c:pt>
                      <c:pt idx="20">
                        <c:v>1.480088913599376</c:v>
                      </c:pt>
                      <c:pt idx="21">
                        <c:v>1.5528644991986522</c:v>
                      </c:pt>
                      <c:pt idx="22">
                        <c:v>1.6254976119282472</c:v>
                      </c:pt>
                      <c:pt idx="23">
                        <c:v>1.6979818711886918</c:v>
                      </c:pt>
                      <c:pt idx="24">
                        <c:v>1.7703102391144401</c:v>
                      </c:pt>
                      <c:pt idx="25">
                        <c:v>1.8424749336142061</c:v>
                      </c:pt>
                      <c:pt idx="26">
                        <c:v>1.9144673272447943</c:v>
                      </c:pt>
                      <c:pt idx="27">
                        <c:v>1.986277829147979</c:v>
                      </c:pt>
                      <c:pt idx="28">
                        <c:v>2.057895746643593</c:v>
                      </c:pt>
                      <c:pt idx="29">
                        <c:v>2.1293091222661098</c:v>
                      </c:pt>
                      <c:pt idx="30">
                        <c:v>2.2005044951966224</c:v>
                      </c:pt>
                      <c:pt idx="31">
                        <c:v>2.2714665038448061</c:v>
                      </c:pt>
                      <c:pt idx="32">
                        <c:v>2.342178191033915</c:v>
                      </c:pt>
                      <c:pt idx="33">
                        <c:v>2.4126197218443908</c:v>
                      </c:pt>
                      <c:pt idx="34">
                        <c:v>2.4827686346259514</c:v>
                      </c:pt>
                      <c:pt idx="35">
                        <c:v>2.5525985113767833</c:v>
                      </c:pt>
                      <c:pt idx="36">
                        <c:v>2.6220786543567081</c:v>
                      </c:pt>
                      <c:pt idx="37">
                        <c:v>2.6911731828183036</c:v>
                      </c:pt>
                      <c:pt idx="38">
                        <c:v>2.7598388305785848</c:v>
                      </c:pt>
                      <c:pt idx="39">
                        <c:v>2.8280235668163245</c:v>
                      </c:pt>
                      <c:pt idx="40">
                        <c:v>2.8956629520400483</c:v>
                      </c:pt>
                      <c:pt idx="41">
                        <c:v>2.9626771451454137</c:v>
                      </c:pt>
                      <c:pt idx="42">
                        <c:v>3.0289631726281194</c:v>
                      </c:pt>
                      <c:pt idx="43">
                        <c:v>3.094386217625583</c:v>
                      </c:pt>
                      <c:pt idx="44">
                        <c:v>3.1587630360984291</c:v>
                      </c:pt>
                      <c:pt idx="45">
                        <c:v>3.2218327142289032</c:v>
                      </c:pt>
                      <c:pt idx="46">
                        <c:v>3.2832030295494365</c:v>
                      </c:pt>
                      <c:pt idx="47">
                        <c:v>3.342229874161216</c:v>
                      </c:pt>
                      <c:pt idx="48">
                        <c:v>3.3977157114487948</c:v>
                      </c:pt>
                      <c:pt idx="49">
                        <c:v>3.4468421488875371</c:v>
                      </c:pt>
                      <c:pt idx="50">
                        <c:v>3.4771212547196626</c:v>
                      </c:pt>
                      <c:pt idx="51">
                        <c:v>3.4771212547196626</c:v>
                      </c:pt>
                      <c:pt idx="52">
                        <c:v>3.4771212547196626</c:v>
                      </c:pt>
                      <c:pt idx="53">
                        <c:v>3.4771212547196626</c:v>
                      </c:pt>
                      <c:pt idx="54">
                        <c:v>3.4771212547196626</c:v>
                      </c:pt>
                      <c:pt idx="55">
                        <c:v>3.4771212547196626</c:v>
                      </c:pt>
                      <c:pt idx="56">
                        <c:v>3.4771212547196626</c:v>
                      </c:pt>
                      <c:pt idx="57">
                        <c:v>3.4771212547196626</c:v>
                      </c:pt>
                      <c:pt idx="58">
                        <c:v>3.4771212547196626</c:v>
                      </c:pt>
                      <c:pt idx="59">
                        <c:v>3.4771212547196626</c:v>
                      </c:pt>
                      <c:pt idx="60">
                        <c:v>3.4771212547196626</c:v>
                      </c:pt>
                      <c:pt idx="61">
                        <c:v>3.4771212547196626</c:v>
                      </c:pt>
                      <c:pt idx="62">
                        <c:v>3.4771212547196626</c:v>
                      </c:pt>
                      <c:pt idx="63">
                        <c:v>3.4771212547196626</c:v>
                      </c:pt>
                      <c:pt idx="64">
                        <c:v>3.4771212547196626</c:v>
                      </c:pt>
                      <c:pt idx="65">
                        <c:v>3.4771212547196626</c:v>
                      </c:pt>
                      <c:pt idx="66">
                        <c:v>3.4771212547196626</c:v>
                      </c:pt>
                      <c:pt idx="67">
                        <c:v>3.4771212547196626</c:v>
                      </c:pt>
                      <c:pt idx="68">
                        <c:v>3.4771212547196626</c:v>
                      </c:pt>
                      <c:pt idx="69">
                        <c:v>3.4771212547196626</c:v>
                      </c:pt>
                      <c:pt idx="70">
                        <c:v>3.4771212547196626</c:v>
                      </c:pt>
                      <c:pt idx="71">
                        <c:v>3.4771212547196626</c:v>
                      </c:pt>
                      <c:pt idx="72">
                        <c:v>3.4771212547196626</c:v>
                      </c:pt>
                      <c:pt idx="73">
                        <c:v>3.4771212547196626</c:v>
                      </c:pt>
                      <c:pt idx="74">
                        <c:v>3.4771212547196626</c:v>
                      </c:pt>
                      <c:pt idx="75">
                        <c:v>3.4771212547196626</c:v>
                      </c:pt>
                      <c:pt idx="76">
                        <c:v>3.4771212547196626</c:v>
                      </c:pt>
                      <c:pt idx="77">
                        <c:v>3.4771212547196626</c:v>
                      </c:pt>
                      <c:pt idx="78">
                        <c:v>3.4771212547196626</c:v>
                      </c:pt>
                      <c:pt idx="79">
                        <c:v>3.4771212547196626</c:v>
                      </c:pt>
                      <c:pt idx="80">
                        <c:v>3.4771212547196626</c:v>
                      </c:pt>
                      <c:pt idx="81">
                        <c:v>3.4771212547196626</c:v>
                      </c:pt>
                      <c:pt idx="82">
                        <c:v>3.4771212547196626</c:v>
                      </c:pt>
                      <c:pt idx="83">
                        <c:v>3.4771212547196626</c:v>
                      </c:pt>
                      <c:pt idx="84">
                        <c:v>3.4771212547196626</c:v>
                      </c:pt>
                      <c:pt idx="85">
                        <c:v>3.4771212547196626</c:v>
                      </c:pt>
                      <c:pt idx="86">
                        <c:v>3.4771212547196626</c:v>
                      </c:pt>
                      <c:pt idx="87">
                        <c:v>3.4771212547196626</c:v>
                      </c:pt>
                      <c:pt idx="88">
                        <c:v>3.4771212547196626</c:v>
                      </c:pt>
                      <c:pt idx="89">
                        <c:v>3.4771212547196626</c:v>
                      </c:pt>
                      <c:pt idx="90">
                        <c:v>3.4771212547196626</c:v>
                      </c:pt>
                      <c:pt idx="91">
                        <c:v>3.4771212547196626</c:v>
                      </c:pt>
                      <c:pt idx="92">
                        <c:v>3.4771212547196626</c:v>
                      </c:pt>
                      <c:pt idx="93">
                        <c:v>3.4771212547196626</c:v>
                      </c:pt>
                      <c:pt idx="94">
                        <c:v>3.4771212547196626</c:v>
                      </c:pt>
                      <c:pt idx="95">
                        <c:v>3.4771212547196626</c:v>
                      </c:pt>
                      <c:pt idx="96">
                        <c:v>3.4771212547196626</c:v>
                      </c:pt>
                      <c:pt idx="97">
                        <c:v>3.4771212547196626</c:v>
                      </c:pt>
                      <c:pt idx="98">
                        <c:v>3.4771212547196626</c:v>
                      </c:pt>
                      <c:pt idx="99">
                        <c:v>3.4771212547196626</c:v>
                      </c:pt>
                      <c:pt idx="100">
                        <c:v>3.4771212547196626</c:v>
                      </c:pt>
                    </c:numCache>
                  </c:numRef>
                </c:yVal>
                <c:smooth val="1"/>
                <c:extLst>
                  <c:ext xmlns:c16="http://schemas.microsoft.com/office/drawing/2014/chart" uri="{C3380CC4-5D6E-409C-BE32-E72D297353CC}">
                    <c16:uniqueId val="{00000007-9234-4612-98F3-3CA43E50E980}"/>
                  </c:ext>
                </c:extLst>
              </c15:ser>
            </c15:filteredScatterSeries>
          </c:ext>
        </c:extLst>
      </c:scatterChart>
      <c:valAx>
        <c:axId val="1292577295"/>
        <c:scaling>
          <c:orientation val="minMax"/>
          <c:max val="100"/>
        </c:scaling>
        <c:delete val="0"/>
        <c:axPos val="b"/>
        <c:majorGridlines>
          <c:spPr>
            <a:ln w="9525" cap="flat" cmpd="sng" algn="ctr">
              <a:solidFill>
                <a:schemeClr val="bg1">
                  <a:lumMod val="95000"/>
                </a:schemeClr>
              </a:solidFill>
              <a:round/>
            </a:ln>
            <a:effectLst/>
          </c:spPr>
        </c:majorGridlines>
        <c:title>
          <c:tx>
            <c:rich>
              <a:bodyPr/>
              <a:lstStyle/>
              <a:p>
                <a:pPr>
                  <a:defRPr/>
                </a:pPr>
                <a:r>
                  <a:rPr lang="en-GB"/>
                  <a:t>t (years)</a:t>
                </a:r>
              </a:p>
              <a:p>
                <a:pPr>
                  <a:defRPr/>
                </a:pPr>
                <a:endParaRPr lang="en-GB"/>
              </a:p>
            </c:rich>
          </c:tx>
          <c:overlay val="0"/>
        </c:title>
        <c:numFmt formatCode="General" sourceLinked="1"/>
        <c:majorTickMark val="in"/>
        <c:minorTickMark val="in"/>
        <c:tickLblPos val="low"/>
        <c:spPr>
          <a:solidFill>
            <a:sysClr val="window" lastClr="FFFFFF"/>
          </a:solidFill>
          <a:ln w="9525" cap="flat" cmpd="sng" algn="ctr">
            <a:solidFill>
              <a:schemeClr val="tx1">
                <a:lumMod val="25000"/>
                <a:lumOff val="75000"/>
              </a:schemeClr>
            </a:solidFill>
            <a:round/>
          </a:ln>
          <a:effectLst/>
        </c:spPr>
        <c:txPr>
          <a:bodyPr rot="0" spcFirstLastPara="1" vertOverflow="ellipsis" vert="horz" wrap="square" anchor="b" anchorCtr="0"/>
          <a:lstStyle/>
          <a:p>
            <a:pPr>
              <a:defRPr sz="900" b="0" i="0" u="none" strike="noStrike" kern="1200" baseline="0">
                <a:solidFill>
                  <a:sysClr val="windowText" lastClr="000000"/>
                </a:solidFill>
                <a:latin typeface="+mn-lt"/>
                <a:ea typeface="+mn-ea"/>
                <a:cs typeface="+mn-cs"/>
              </a:defRPr>
            </a:pPr>
            <a:endParaRPr lang="en-US"/>
          </a:p>
        </c:txPr>
        <c:crossAx val="1296221023"/>
        <c:crosses val="autoZero"/>
        <c:crossBetween val="midCat"/>
      </c:valAx>
      <c:valAx>
        <c:axId val="1296221023"/>
        <c:scaling>
          <c:orientation val="minMax"/>
        </c:scaling>
        <c:delete val="0"/>
        <c:axPos val="l"/>
        <c:majorGridlines>
          <c:spPr>
            <a:ln w="9525" cap="flat" cmpd="sng" algn="ctr">
              <a:solidFill>
                <a:schemeClr val="bg1">
                  <a:lumMod val="95000"/>
                </a:schemeClr>
              </a:solidFill>
              <a:round/>
            </a:ln>
            <a:effectLst/>
          </c:spPr>
        </c:majorGridlines>
        <c:title>
          <c:tx>
            <c:rich>
              <a:bodyPr/>
              <a:lstStyle/>
              <a:p>
                <a:pPr>
                  <a:defRPr/>
                </a:pPr>
                <a:r>
                  <a:rPr lang="en-GB"/>
                  <a:t>LOG(N</a:t>
                </a:r>
                <a:r>
                  <a:rPr lang="en-GB" baseline="0"/>
                  <a:t>)</a:t>
                </a:r>
                <a:endParaRPr lang="en-GB"/>
              </a:p>
            </c:rich>
          </c:tx>
          <c:overlay val="0"/>
        </c:title>
        <c:numFmt formatCode="General" sourceLinked="1"/>
        <c:majorTickMark val="in"/>
        <c:minorTickMark val="in"/>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292577295"/>
        <c:crosses val="autoZero"/>
        <c:crossBetween val="midCat"/>
      </c:valAx>
      <c:spPr>
        <a:ln>
          <a:solidFill>
            <a:schemeClr val="tx1">
              <a:lumMod val="25000"/>
              <a:lumOff val="75000"/>
            </a:schemeClr>
          </a:solidFill>
        </a:ln>
      </c:spPr>
    </c:plotArea>
    <c:legend>
      <c:legendPos val="r"/>
      <c:layout>
        <c:manualLayout>
          <c:xMode val="edge"/>
          <c:yMode val="edge"/>
          <c:x val="0.5935816887881481"/>
          <c:y val="0.44943789540758272"/>
          <c:w val="0.30433885952416417"/>
          <c:h val="0.27873469573528742"/>
        </c:manualLayout>
      </c:layout>
      <c:overlay val="1"/>
    </c:legend>
    <c:plotVisOnly val="1"/>
    <c:dispBlanksAs val="gap"/>
    <c:showDLblsOverMax val="0"/>
    <c:extLst/>
  </c:chart>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Logarithmic plot of operational plants over time</a:t>
            </a:r>
            <a:endParaRPr lang="en-GB" baseline="0"/>
          </a:p>
        </c:rich>
      </c:tx>
      <c:layout>
        <c:manualLayout>
          <c:xMode val="edge"/>
          <c:yMode val="edge"/>
          <c:x val="0.1845750107981175"/>
          <c:y val="2.9799584300517348E-2"/>
        </c:manualLayout>
      </c:layout>
      <c:overlay val="0"/>
      <c:spPr>
        <a:noFill/>
        <a:ln>
          <a:noFill/>
        </a:ln>
        <a:effectLst/>
      </c:spPr>
    </c:title>
    <c:autoTitleDeleted val="0"/>
    <c:plotArea>
      <c:layout/>
      <c:scatterChart>
        <c:scatterStyle val="lineMarker"/>
        <c:varyColors val="0"/>
        <c:ser>
          <c:idx val="4"/>
          <c:order val="0"/>
          <c:tx>
            <c:v>Point A and B</c:v>
          </c:tx>
          <c:spPr>
            <a:ln>
              <a:solidFill>
                <a:schemeClr val="tx1"/>
              </a:solidFill>
            </a:ln>
            <a:effectLst/>
          </c:spPr>
          <c:marker>
            <c:symbol val="diamond"/>
            <c:size val="13"/>
            <c:spPr>
              <a:solidFill>
                <a:schemeClr val="accent2"/>
              </a:solidFill>
              <a:ln w="15875">
                <a:solidFill>
                  <a:schemeClr val="tx1"/>
                </a:solidFill>
              </a:ln>
              <a:effectLst/>
            </c:spPr>
          </c:marker>
          <c:dLbls>
            <c:dLbl>
              <c:idx val="0"/>
              <c:layout>
                <c:manualLayout>
                  <c:x val="-7.8431387226856289E-2"/>
                  <c:y val="-2.3121387283236993E-2"/>
                </c:manualLayout>
              </c:layout>
              <c:tx>
                <c:rich>
                  <a:bodyPr/>
                  <a:lstStyle/>
                  <a:p>
                    <a:r>
                      <a:rPr lang="en-US" b="1"/>
                      <a:t>B</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6DD0-4CDA-8DBE-7DBB2D671E03}"/>
                </c:ext>
              </c:extLst>
            </c:dLbl>
            <c:dLbl>
              <c:idx val="1"/>
              <c:layout>
                <c:manualLayout>
                  <c:x val="3.0897213149973665E-2"/>
                  <c:y val="-3.4682080924855488E-2"/>
                </c:manualLayout>
              </c:layout>
              <c:tx>
                <c:rich>
                  <a:bodyPr/>
                  <a:lstStyle/>
                  <a:p>
                    <a:r>
                      <a:rPr lang="en-US" b="1"/>
                      <a:t>A</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6DD0-4CDA-8DBE-7DBB2D671E03}"/>
                </c:ext>
              </c:extLst>
            </c:dLbl>
            <c:spPr>
              <a:solidFill>
                <a:schemeClr val="lt1"/>
              </a:solidFill>
              <a:ln w="12700" cap="flat" cmpd="sng" algn="ctr">
                <a:solidFill>
                  <a:schemeClr val="dk1"/>
                </a:solidFill>
                <a:prstDash val="solid"/>
                <a:miter lim="800000"/>
              </a:ln>
              <a:effectLst/>
            </c:spPr>
            <c:txPr>
              <a:bodyPr wrap="square" lIns="38100" tIns="19050" rIns="38100" bIns="19050" anchor="ctr">
                <a:spAutoFit/>
              </a:bodyPr>
              <a:lstStyle/>
              <a:p>
                <a:pPr>
                  <a:defRPr>
                    <a:solidFill>
                      <a:schemeClr val="dk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xVal>
            <c:numRef>
              <c:f>(Sheet1!$D$9,Sheet1!$D$8)</c:f>
              <c:numCache>
                <c:formatCode>General</c:formatCode>
                <c:ptCount val="2"/>
                <c:pt idx="0">
                  <c:v>0.99718012695849811</c:v>
                </c:pt>
                <c:pt idx="1">
                  <c:v>0</c:v>
                </c:pt>
              </c:numCache>
            </c:numRef>
          </c:xVal>
          <c:yVal>
            <c:numRef>
              <c:f>(Sheet1!$E$9,Sheet1!$E$8)</c:f>
              <c:numCache>
                <c:formatCode>General</c:formatCode>
                <c:ptCount val="2"/>
                <c:pt idx="0">
                  <c:v>7.5045282323631224E-2</c:v>
                </c:pt>
                <c:pt idx="1">
                  <c:v>0</c:v>
                </c:pt>
              </c:numCache>
            </c:numRef>
          </c:yVal>
          <c:smooth val="0"/>
          <c:extLst>
            <c:ext xmlns:c16="http://schemas.microsoft.com/office/drawing/2014/chart" uri="{C3380CC4-5D6E-409C-BE32-E72D297353CC}">
              <c16:uniqueId val="{00000002-6DD0-4CDA-8DBE-7DBB2D671E03}"/>
            </c:ext>
          </c:extLst>
        </c:ser>
        <c:ser>
          <c:idx val="5"/>
          <c:order val="1"/>
          <c:tx>
            <c:v>Point C and D</c:v>
          </c:tx>
          <c:spPr>
            <a:ln w="19050" cap="rnd">
              <a:solidFill>
                <a:srgbClr val="000000"/>
              </a:solidFill>
              <a:round/>
            </a:ln>
            <a:effectLst/>
          </c:spPr>
          <c:marker>
            <c:symbol val="diamond"/>
            <c:size val="13"/>
            <c:spPr>
              <a:solidFill>
                <a:schemeClr val="accent4">
                  <a:lumMod val="60000"/>
                  <a:lumOff val="40000"/>
                </a:schemeClr>
              </a:solidFill>
              <a:ln w="15875">
                <a:solidFill>
                  <a:schemeClr val="tx1"/>
                </a:solidFill>
              </a:ln>
              <a:effectLst/>
            </c:spPr>
          </c:marker>
          <c:dLbls>
            <c:dLbl>
              <c:idx val="0"/>
              <c:layout>
                <c:manualLayout>
                  <c:x val="-2.3767087038441734E-3"/>
                  <c:y val="-5.7803468208092484E-2"/>
                </c:manualLayout>
              </c:layout>
              <c:tx>
                <c:rich>
                  <a:bodyPr/>
                  <a:lstStyle/>
                  <a:p>
                    <a:r>
                      <a:rPr lang="en-US" b="1"/>
                      <a:t>C</a:t>
                    </a:r>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6DD0-4CDA-8DBE-7DBB2D671E03}"/>
                </c:ext>
              </c:extLst>
            </c:dLbl>
            <c:dLbl>
              <c:idx val="1"/>
              <c:layout>
                <c:manualLayout>
                  <c:x val="0"/>
                  <c:y val="-5.7803468208092484E-2"/>
                </c:manualLayout>
              </c:layout>
              <c:tx>
                <c:rich>
                  <a:bodyPr/>
                  <a:lstStyle/>
                  <a:p>
                    <a:r>
                      <a:rPr lang="en-US" b="1"/>
                      <a:t>D</a:t>
                    </a:r>
                  </a:p>
                </c:rich>
              </c:tx>
              <c:showLegendKey val="0"/>
              <c:showVal val="1"/>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6DD0-4CDA-8DBE-7DBB2D671E03}"/>
                </c:ext>
              </c:extLst>
            </c:dLbl>
            <c:spPr>
              <a:solidFill>
                <a:schemeClr val="lt1"/>
              </a:solidFill>
              <a:ln w="12700" cap="flat" cmpd="sng" algn="ctr">
                <a:solidFill>
                  <a:schemeClr val="dk1"/>
                </a:solidFill>
                <a:prstDash val="solid"/>
                <a:miter lim="800000"/>
              </a:ln>
              <a:effectLst/>
            </c:spPr>
            <c:txPr>
              <a:bodyPr wrap="square" lIns="38100" tIns="19050" rIns="38100" bIns="19050" anchor="ctr">
                <a:spAutoFit/>
              </a:bodyPr>
              <a:lstStyle/>
              <a:p>
                <a:pPr>
                  <a:defRPr>
                    <a:solidFill>
                      <a:schemeClr val="dk1"/>
                    </a:solidFill>
                    <a:latin typeface="+mn-lt"/>
                    <a:ea typeface="+mn-ea"/>
                    <a:cs typeface="+mn-cs"/>
                  </a:defRPr>
                </a:pPr>
                <a:endParaRPr lang="en-US"/>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(Sheet1!$D$10,Sheet1!$D$11)</c:f>
              <c:numCache>
                <c:formatCode>General</c:formatCode>
                <c:ptCount val="2"/>
                <c:pt idx="0">
                  <c:v>46.203000000000003</c:v>
                </c:pt>
                <c:pt idx="1">
                  <c:v>50</c:v>
                </c:pt>
              </c:numCache>
            </c:numRef>
          </c:xVal>
          <c:yVal>
            <c:numRef>
              <c:f>(Sheet1!$E$10,Sheet1!$E$11)</c:f>
              <c:numCache>
                <c:formatCode>General</c:formatCode>
                <c:ptCount val="2"/>
                <c:pt idx="0">
                  <c:v>3.4771212547196626</c:v>
                </c:pt>
                <c:pt idx="1">
                  <c:v>3.4771212547196626</c:v>
                </c:pt>
              </c:numCache>
            </c:numRef>
          </c:yVal>
          <c:smooth val="0"/>
          <c:extLst>
            <c:ext xmlns:c16="http://schemas.microsoft.com/office/drawing/2014/chart" uri="{C3380CC4-5D6E-409C-BE32-E72D297353CC}">
              <c16:uniqueId val="{00000005-6DD0-4CDA-8DBE-7DBB2D671E03}"/>
            </c:ext>
          </c:extLst>
        </c:ser>
        <c:dLbls>
          <c:showLegendKey val="0"/>
          <c:showVal val="0"/>
          <c:showCatName val="0"/>
          <c:showSerName val="0"/>
          <c:showPercent val="0"/>
          <c:showBubbleSize val="0"/>
        </c:dLbls>
        <c:axId val="1292577295"/>
        <c:axId val="1296221023"/>
      </c:scatterChart>
      <c:scatterChart>
        <c:scatterStyle val="smoothMarker"/>
        <c:varyColors val="0"/>
        <c:ser>
          <c:idx val="0"/>
          <c:order val="2"/>
          <c:tx>
            <c:v>Log(N)</c:v>
          </c:tx>
          <c:marker>
            <c:symbol val="diamond"/>
            <c:size val="3"/>
            <c:spPr>
              <a:ln w="0"/>
            </c:spPr>
          </c:marker>
          <c:xVal>
            <c:numRef>
              <c:f>Sheet1!$X$8:$X$108</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extLst xmlns:c15="http://schemas.microsoft.com/office/drawing/2012/chart"/>
            </c:numRef>
          </c:xVal>
          <c:yVal>
            <c:numRef>
              <c:f>Sheet1!$Y$8:$Y$108</c:f>
              <c:numCache>
                <c:formatCode>0.0000</c:formatCode>
                <c:ptCount val="101"/>
                <c:pt idx="0">
                  <c:v>0</c:v>
                </c:pt>
                <c:pt idx="1">
                  <c:v>7.5121784085380158E-2</c:v>
                </c:pt>
                <c:pt idx="2">
                  <c:v>0.15006816355113517</c:v>
                </c:pt>
                <c:pt idx="3">
                  <c:v>0.22488180575944197</c:v>
                </c:pt>
                <c:pt idx="4">
                  <c:v>0.29957741589113585</c:v>
                </c:pt>
                <c:pt idx="5">
                  <c:v>0.37416247178044176</c:v>
                </c:pt>
                <c:pt idx="6">
                  <c:v>0.44864117878629567</c:v>
                </c:pt>
                <c:pt idx="7">
                  <c:v>0.52301587399255722</c:v>
                </c:pt>
                <c:pt idx="8">
                  <c:v>0.59728765413848506</c:v>
                </c:pt>
                <c:pt idx="9">
                  <c:v>0.67145677161520023</c:v>
                </c:pt>
                <c:pt idx="10">
                  <c:v>0.74552280341850352</c:v>
                </c:pt>
                <c:pt idx="11">
                  <c:v>0.81948478071914033</c:v>
                </c:pt>
                <c:pt idx="12">
                  <c:v>0.89334119861775996</c:v>
                </c:pt>
                <c:pt idx="13">
                  <c:v>0.96709029898160948</c:v>
                </c:pt>
                <c:pt idx="14">
                  <c:v>1.0407297848565371</c:v>
                </c:pt>
                <c:pt idx="15">
                  <c:v>1.1142570008970425</c:v>
                </c:pt>
                <c:pt idx="16">
                  <c:v>1.1876689094044997</c:v>
                </c:pt>
                <c:pt idx="17">
                  <c:v>1.2609621164882661</c:v>
                </c:pt>
                <c:pt idx="18">
                  <c:v>1.3341327162194341</c:v>
                </c:pt>
                <c:pt idx="19">
                  <c:v>1.4071766379057171</c:v>
                </c:pt>
                <c:pt idx="20">
                  <c:v>1.480088913599376</c:v>
                </c:pt>
                <c:pt idx="21">
                  <c:v>1.5528644991986522</c:v>
                </c:pt>
                <c:pt idx="22">
                  <c:v>1.6254976119282472</c:v>
                </c:pt>
                <c:pt idx="23">
                  <c:v>1.6979818711886918</c:v>
                </c:pt>
                <c:pt idx="24">
                  <c:v>1.7703102391144401</c:v>
                </c:pt>
                <c:pt idx="25">
                  <c:v>1.8424749336142061</c:v>
                </c:pt>
                <c:pt idx="26">
                  <c:v>1.9144673272447943</c:v>
                </c:pt>
                <c:pt idx="27">
                  <c:v>1.986277829147979</c:v>
                </c:pt>
                <c:pt idx="28">
                  <c:v>2.057895746643593</c:v>
                </c:pt>
                <c:pt idx="29">
                  <c:v>2.1293091222661098</c:v>
                </c:pt>
                <c:pt idx="30">
                  <c:v>2.2005044951966224</c:v>
                </c:pt>
                <c:pt idx="31">
                  <c:v>2.2714665038448061</c:v>
                </c:pt>
                <c:pt idx="32">
                  <c:v>2.342178191033915</c:v>
                </c:pt>
                <c:pt idx="33">
                  <c:v>2.4126197218443908</c:v>
                </c:pt>
                <c:pt idx="34">
                  <c:v>2.4827686346259514</c:v>
                </c:pt>
                <c:pt idx="35">
                  <c:v>2.5525985113767833</c:v>
                </c:pt>
                <c:pt idx="36">
                  <c:v>2.6220786543567081</c:v>
                </c:pt>
                <c:pt idx="37">
                  <c:v>2.6911731828183036</c:v>
                </c:pt>
                <c:pt idx="38">
                  <c:v>2.7598388305785848</c:v>
                </c:pt>
                <c:pt idx="39">
                  <c:v>2.8280235668163245</c:v>
                </c:pt>
                <c:pt idx="40">
                  <c:v>2.8956629520400483</c:v>
                </c:pt>
                <c:pt idx="41">
                  <c:v>2.9626771451454137</c:v>
                </c:pt>
                <c:pt idx="42">
                  <c:v>3.0289631726281194</c:v>
                </c:pt>
                <c:pt idx="43">
                  <c:v>3.094386217625583</c:v>
                </c:pt>
                <c:pt idx="44">
                  <c:v>3.1587630360984291</c:v>
                </c:pt>
                <c:pt idx="45">
                  <c:v>3.2218327142289032</c:v>
                </c:pt>
                <c:pt idx="46">
                  <c:v>3.2832030295494365</c:v>
                </c:pt>
                <c:pt idx="47">
                  <c:v>3.342229874161216</c:v>
                </c:pt>
                <c:pt idx="48">
                  <c:v>3.3977157114487948</c:v>
                </c:pt>
                <c:pt idx="49">
                  <c:v>3.4468421488875371</c:v>
                </c:pt>
                <c:pt idx="50">
                  <c:v>3.4771212547196626</c:v>
                </c:pt>
                <c:pt idx="51">
                  <c:v>3.4771212547196626</c:v>
                </c:pt>
                <c:pt idx="52">
                  <c:v>3.4771212547196626</c:v>
                </c:pt>
                <c:pt idx="53">
                  <c:v>3.4771212547196626</c:v>
                </c:pt>
                <c:pt idx="54">
                  <c:v>3.4771212547196626</c:v>
                </c:pt>
                <c:pt idx="55">
                  <c:v>3.4771212547196626</c:v>
                </c:pt>
                <c:pt idx="56">
                  <c:v>3.4771212547196626</c:v>
                </c:pt>
                <c:pt idx="57">
                  <c:v>3.4771212547196626</c:v>
                </c:pt>
                <c:pt idx="58">
                  <c:v>3.4771212547196626</c:v>
                </c:pt>
                <c:pt idx="59">
                  <c:v>3.4771212547196626</c:v>
                </c:pt>
                <c:pt idx="60">
                  <c:v>3.4771212547196626</c:v>
                </c:pt>
                <c:pt idx="61">
                  <c:v>3.4771212547196626</c:v>
                </c:pt>
                <c:pt idx="62">
                  <c:v>3.4771212547196626</c:v>
                </c:pt>
                <c:pt idx="63">
                  <c:v>3.4771212547196626</c:v>
                </c:pt>
                <c:pt idx="64">
                  <c:v>3.4771212547196626</c:v>
                </c:pt>
                <c:pt idx="65">
                  <c:v>3.4771212547196626</c:v>
                </c:pt>
                <c:pt idx="66">
                  <c:v>3.4771212547196626</c:v>
                </c:pt>
                <c:pt idx="67">
                  <c:v>3.4771212547196626</c:v>
                </c:pt>
                <c:pt idx="68">
                  <c:v>3.4771212547196626</c:v>
                </c:pt>
                <c:pt idx="69">
                  <c:v>3.4771212547196626</c:v>
                </c:pt>
                <c:pt idx="70">
                  <c:v>3.4771212547196626</c:v>
                </c:pt>
                <c:pt idx="71">
                  <c:v>3.4771212547196626</c:v>
                </c:pt>
                <c:pt idx="72">
                  <c:v>3.4771212547196626</c:v>
                </c:pt>
                <c:pt idx="73">
                  <c:v>3.4771212547196626</c:v>
                </c:pt>
                <c:pt idx="74">
                  <c:v>3.4771212547196626</c:v>
                </c:pt>
                <c:pt idx="75">
                  <c:v>3.4771212547196626</c:v>
                </c:pt>
                <c:pt idx="76">
                  <c:v>3.4771212547196626</c:v>
                </c:pt>
                <c:pt idx="77">
                  <c:v>3.4771212547196626</c:v>
                </c:pt>
                <c:pt idx="78">
                  <c:v>3.4771212547196626</c:v>
                </c:pt>
                <c:pt idx="79">
                  <c:v>3.4771212547196626</c:v>
                </c:pt>
                <c:pt idx="80">
                  <c:v>3.4771212547196626</c:v>
                </c:pt>
                <c:pt idx="81">
                  <c:v>3.4771212547196626</c:v>
                </c:pt>
                <c:pt idx="82">
                  <c:v>3.4771212547196626</c:v>
                </c:pt>
                <c:pt idx="83">
                  <c:v>3.4771212547196626</c:v>
                </c:pt>
                <c:pt idx="84">
                  <c:v>3.4771212547196626</c:v>
                </c:pt>
                <c:pt idx="85">
                  <c:v>3.4771212547196626</c:v>
                </c:pt>
                <c:pt idx="86">
                  <c:v>3.4771212547196626</c:v>
                </c:pt>
                <c:pt idx="87">
                  <c:v>3.4771212547196626</c:v>
                </c:pt>
                <c:pt idx="88">
                  <c:v>3.4771212547196626</c:v>
                </c:pt>
                <c:pt idx="89">
                  <c:v>3.4771212547196626</c:v>
                </c:pt>
                <c:pt idx="90">
                  <c:v>3.4771212547196626</c:v>
                </c:pt>
                <c:pt idx="91">
                  <c:v>3.4771212547196626</c:v>
                </c:pt>
                <c:pt idx="92">
                  <c:v>3.4771212547196626</c:v>
                </c:pt>
                <c:pt idx="93">
                  <c:v>3.4771212547196626</c:v>
                </c:pt>
                <c:pt idx="94">
                  <c:v>3.4771212547196626</c:v>
                </c:pt>
                <c:pt idx="95">
                  <c:v>3.4771212547196626</c:v>
                </c:pt>
                <c:pt idx="96">
                  <c:v>3.4771212547196626</c:v>
                </c:pt>
                <c:pt idx="97">
                  <c:v>3.4771212547196626</c:v>
                </c:pt>
                <c:pt idx="98">
                  <c:v>3.4771212547196626</c:v>
                </c:pt>
                <c:pt idx="99">
                  <c:v>3.4771212547196626</c:v>
                </c:pt>
                <c:pt idx="100">
                  <c:v>3.4771212547196626</c:v>
                </c:pt>
              </c:numCache>
              <c:extLst xmlns:c15="http://schemas.microsoft.com/office/drawing/2012/chart"/>
            </c:numRef>
          </c:yVal>
          <c:smooth val="1"/>
          <c:extLst xmlns:c15="http://schemas.microsoft.com/office/drawing/2012/chart">
            <c:ext xmlns:c16="http://schemas.microsoft.com/office/drawing/2014/chart" uri="{C3380CC4-5D6E-409C-BE32-E72D297353CC}">
              <c16:uniqueId val="{00000006-6DD0-4CDA-8DBE-7DBB2D671E03}"/>
            </c:ext>
          </c:extLst>
        </c:ser>
        <c:dLbls>
          <c:showLegendKey val="0"/>
          <c:showVal val="0"/>
          <c:showCatName val="0"/>
          <c:showSerName val="0"/>
          <c:showPercent val="0"/>
          <c:showBubbleSize val="0"/>
        </c:dLbls>
        <c:axId val="1292577295"/>
        <c:axId val="1296221023"/>
        <c:extLst>
          <c:ext xmlns:c15="http://schemas.microsoft.com/office/drawing/2012/chart" uri="{02D57815-91ED-43cb-92C2-25804820EDAC}">
            <c15:filteredScatterSeries>
              <c15:ser>
                <c:idx val="1"/>
                <c:order val="3"/>
                <c:tx>
                  <c:v>Log(Plants)</c:v>
                </c:tx>
                <c:spPr>
                  <a:ln>
                    <a:solidFill>
                      <a:schemeClr val="accent1">
                        <a:lumMod val="75000"/>
                      </a:schemeClr>
                    </a:solidFill>
                  </a:ln>
                </c:spPr>
                <c:xVal>
                  <c:numRef>
                    <c:extLst>
                      <c:ext uri="{02D57815-91ED-43cb-92C2-25804820EDAC}">
                        <c15:formulaRef>
                          <c15:sqref>Sheet1!$H$8:$H$1008</c15:sqref>
                        </c15:formulaRef>
                      </c:ext>
                    </c:extLst>
                    <c:numCache>
                      <c:formatCode>0.0000</c:formatCode>
                      <c:ptCount val="1001"/>
                      <c:pt idx="0">
                        <c:v>0</c:v>
                      </c:pt>
                      <c:pt idx="1">
                        <c:v>3.1240806826541246E-3</c:v>
                      </c:pt>
                      <c:pt idx="2">
                        <c:v>6.5128994990270314E-3</c:v>
                      </c:pt>
                      <c:pt idx="3">
                        <c:v>1.0165942744361011E-2</c:v>
                      </c:pt>
                      <c:pt idx="4">
                        <c:v>1.4082696713898338E-2</c:v>
                      </c:pt>
                      <c:pt idx="5">
                        <c:v>1.8262647702881309E-2</c:v>
                      </c:pt>
                      <c:pt idx="6">
                        <c:v>2.2705282006552203E-2</c:v>
                      </c:pt>
                      <c:pt idx="7">
                        <c:v>2.7410085920153301E-2</c:v>
                      </c:pt>
                      <c:pt idx="8">
                        <c:v>3.2376545738926898E-2</c:v>
                      </c:pt>
                      <c:pt idx="9">
                        <c:v>3.7604147758115283E-2</c:v>
                      </c:pt>
                      <c:pt idx="10">
                        <c:v>4.3092378272960731E-2</c:v>
                      </c:pt>
                      <c:pt idx="11">
                        <c:v>4.884072357870553E-2</c:v>
                      </c:pt>
                      <c:pt idx="12">
                        <c:v>5.4848669970591964E-2</c:v>
                      </c:pt>
                      <c:pt idx="13">
                        <c:v>6.1115703743862319E-2</c:v>
                      </c:pt>
                      <c:pt idx="14">
                        <c:v>6.7641311193758893E-2</c:v>
                      </c:pt>
                      <c:pt idx="15">
                        <c:v>7.442497861552394E-2</c:v>
                      </c:pt>
                      <c:pt idx="16">
                        <c:v>8.1466192304399776E-2</c:v>
                      </c:pt>
                      <c:pt idx="17">
                        <c:v>8.8764438555628669E-2</c:v>
                      </c:pt>
                      <c:pt idx="18">
                        <c:v>9.6319203664452929E-2</c:v>
                      </c:pt>
                      <c:pt idx="19">
                        <c:v>0.10412997392611478</c:v>
                      </c:pt>
                      <c:pt idx="20">
                        <c:v>0.11219623563585658</c:v>
                      </c:pt>
                      <c:pt idx="21">
                        <c:v>0.12051747508892059</c:v>
                      </c:pt>
                      <c:pt idx="22">
                        <c:v>0.12909317858054906</c:v>
                      </c:pt>
                      <c:pt idx="23">
                        <c:v>0.13792283240598432</c:v>
                      </c:pt>
                      <c:pt idx="24">
                        <c:v>0.14700592286046865</c:v>
                      </c:pt>
                      <c:pt idx="25">
                        <c:v>0.15634193623924431</c:v>
                      </c:pt>
                      <c:pt idx="26">
                        <c:v>0.16593035883755361</c:v>
                      </c:pt>
                      <c:pt idx="27">
                        <c:v>0.1757706769506388</c:v>
                      </c:pt>
                      <c:pt idx="28">
                        <c:v>0.18586237687374221</c:v>
                      </c:pt>
                      <c:pt idx="29">
                        <c:v>0.19620494490210616</c:v>
                      </c:pt>
                      <c:pt idx="30">
                        <c:v>0.20679786733097277</c:v>
                      </c:pt>
                      <c:pt idx="31">
                        <c:v>0.21764063045558452</c:v>
                      </c:pt>
                      <c:pt idx="32">
                        <c:v>0.22873272057118363</c:v>
                      </c:pt>
                      <c:pt idx="33">
                        <c:v>0.2400736239730123</c:v>
                      </c:pt>
                      <c:pt idx="34">
                        <c:v>0.25166282695631287</c:v>
                      </c:pt>
                      <c:pt idx="35">
                        <c:v>0.26349981581632764</c:v>
                      </c:pt>
                      <c:pt idx="36">
                        <c:v>0.275584076848299</c:v>
                      </c:pt>
                      <c:pt idx="37">
                        <c:v>0.28791509634746904</c:v>
                      </c:pt>
                      <c:pt idx="38">
                        <c:v>0.30049236060908013</c:v>
                      </c:pt>
                      <c:pt idx="39">
                        <c:v>0.31331535592837456</c:v>
                      </c:pt>
                      <c:pt idx="40">
                        <c:v>0.32638356860059459</c:v>
                      </c:pt>
                      <c:pt idx="41">
                        <c:v>0.33969648492098264</c:v>
                      </c:pt>
                      <c:pt idx="42">
                        <c:v>0.35325359118478072</c:v>
                      </c:pt>
                      <c:pt idx="43">
                        <c:v>0.36705437368723143</c:v>
                      </c:pt>
                      <c:pt idx="44">
                        <c:v>0.3810983187235768</c:v>
                      </c:pt>
                      <c:pt idx="45">
                        <c:v>0.39538491258905928</c:v>
                      </c:pt>
                      <c:pt idx="46">
                        <c:v>0.40991364157892113</c:v>
                      </c:pt>
                      <c:pt idx="47">
                        <c:v>0.42468399198840445</c:v>
                      </c:pt>
                      <c:pt idx="48">
                        <c:v>0.4396954501127518</c:v>
                      </c:pt>
                      <c:pt idx="49">
                        <c:v>0.45494750224720532</c:v>
                      </c:pt>
                      <c:pt idx="50">
                        <c:v>0.47043963468700734</c:v>
                      </c:pt>
                      <c:pt idx="51">
                        <c:v>0.48617133372740007</c:v>
                      </c:pt>
                      <c:pt idx="52">
                        <c:v>0.50214208566362584</c:v>
                      </c:pt>
                      <c:pt idx="53">
                        <c:v>0.51835137679092691</c:v>
                      </c:pt>
                      <c:pt idx="54">
                        <c:v>0.53479869340454578</c:v>
                      </c:pt>
                      <c:pt idx="55">
                        <c:v>0.55148352179972437</c:v>
                      </c:pt>
                      <c:pt idx="56">
                        <c:v>0.56840534827170519</c:v>
                      </c:pt>
                      <c:pt idx="57">
                        <c:v>0.58556365911573049</c:v>
                      </c:pt>
                      <c:pt idx="58">
                        <c:v>0.60295794062704244</c:v>
                      </c:pt>
                      <c:pt idx="59">
                        <c:v>0.62058767910088364</c:v>
                      </c:pt>
                      <c:pt idx="60">
                        <c:v>0.63845236083249601</c:v>
                      </c:pt>
                      <c:pt idx="61">
                        <c:v>0.65655147211712206</c:v>
                      </c:pt>
                      <c:pt idx="62">
                        <c:v>0.67488449925000404</c:v>
                      </c:pt>
                      <c:pt idx="63">
                        <c:v>0.69345092852638401</c:v>
                      </c:pt>
                      <c:pt idx="64">
                        <c:v>0.71225024624150468</c:v>
                      </c:pt>
                      <c:pt idx="65">
                        <c:v>0.73128193869060798</c:v>
                      </c:pt>
                      <c:pt idx="66">
                        <c:v>0.7505454921689364</c:v>
                      </c:pt>
                      <c:pt idx="67">
                        <c:v>0.7700403929717321</c:v>
                      </c:pt>
                      <c:pt idx="68">
                        <c:v>0.78976612739423735</c:v>
                      </c:pt>
                      <c:pt idx="69">
                        <c:v>0.80972218173169463</c:v>
                      </c:pt>
                      <c:pt idx="70">
                        <c:v>0.829908042279346</c:v>
                      </c:pt>
                      <c:pt idx="71">
                        <c:v>0.85032319533243395</c:v>
                      </c:pt>
                      <c:pt idx="72">
                        <c:v>0.87096712718620062</c:v>
                      </c:pt>
                      <c:pt idx="73">
                        <c:v>0.89183932413588818</c:v>
                      </c:pt>
                      <c:pt idx="74">
                        <c:v>0.91293927247673923</c:v>
                      </c:pt>
                      <c:pt idx="75">
                        <c:v>0.9342664585039957</c:v>
                      </c:pt>
                      <c:pt idx="76">
                        <c:v>0.95582036851290042</c:v>
                      </c:pt>
                      <c:pt idx="77">
                        <c:v>0.97760048879869477</c:v>
                      </c:pt>
                      <c:pt idx="78">
                        <c:v>0.99960630565662212</c:v>
                      </c:pt>
                      <c:pt idx="79">
                        <c:v>1.0218373053819239</c:v>
                      </c:pt>
                      <c:pt idx="80">
                        <c:v>1.0442929742698428</c:v>
                      </c:pt>
                      <c:pt idx="81">
                        <c:v>1.066972798615621</c:v>
                      </c:pt>
                      <c:pt idx="82">
                        <c:v>1.0898762647145008</c:v>
                      </c:pt>
                      <c:pt idx="83">
                        <c:v>1.1130028588617245</c:v>
                      </c:pt>
                      <c:pt idx="84">
                        <c:v>1.1363520673525342</c:v>
                      </c:pt>
                      <c:pt idx="85">
                        <c:v>1.1599233764821728</c:v>
                      </c:pt>
                      <c:pt idx="86">
                        <c:v>1.1837162725458821</c:v>
                      </c:pt>
                      <c:pt idx="87">
                        <c:v>1.207730241838904</c:v>
                      </c:pt>
                      <c:pt idx="88">
                        <c:v>1.2319647706564816</c:v>
                      </c:pt>
                      <c:pt idx="89">
                        <c:v>1.2564193452938563</c:v>
                      </c:pt>
                      <c:pt idx="90">
                        <c:v>1.2810934520462713</c:v>
                      </c:pt>
                      <c:pt idx="91">
                        <c:v>1.3059865772089685</c:v>
                      </c:pt>
                      <c:pt idx="92">
                        <c:v>1.33109820707719</c:v>
                      </c:pt>
                      <c:pt idx="93">
                        <c:v>1.3564278279461783</c:v>
                      </c:pt>
                      <c:pt idx="94">
                        <c:v>1.3819749261111753</c:v>
                      </c:pt>
                      <c:pt idx="95">
                        <c:v>1.4077389878674242</c:v>
                      </c:pt>
                      <c:pt idx="96">
                        <c:v>1.4337194995101665</c:v>
                      </c:pt>
                      <c:pt idx="97">
                        <c:v>1.4599159473346448</c:v>
                      </c:pt>
                      <c:pt idx="98">
                        <c:v>1.486327817636101</c:v>
                      </c:pt>
                      <c:pt idx="99">
                        <c:v>1.5129545967097777</c:v>
                      </c:pt>
                      <c:pt idx="100">
                        <c:v>1.5397957708509171</c:v>
                      </c:pt>
                      <c:pt idx="101">
                        <c:v>1.5668508263547618</c:v>
                      </c:pt>
                      <c:pt idx="102">
                        <c:v>1.5941192495165535</c:v>
                      </c:pt>
                      <c:pt idx="103">
                        <c:v>1.621600526631535</c:v>
                      </c:pt>
                      <c:pt idx="104">
                        <c:v>1.6492941439949482</c:v>
                      </c:pt>
                      <c:pt idx="105">
                        <c:v>1.6771995879020356</c:v>
                      </c:pt>
                      <c:pt idx="106">
                        <c:v>1.7053163446480393</c:v>
                      </c:pt>
                      <c:pt idx="107">
                        <c:v>1.7336439005282021</c:v>
                      </c:pt>
                      <c:pt idx="108">
                        <c:v>1.7621817418377659</c:v>
                      </c:pt>
                      <c:pt idx="109">
                        <c:v>1.7909293548719727</c:v>
                      </c:pt>
                      <c:pt idx="110">
                        <c:v>1.8198862259260653</c:v>
                      </c:pt>
                      <c:pt idx="111">
                        <c:v>1.8490518412952857</c:v>
                      </c:pt>
                      <c:pt idx="112">
                        <c:v>1.8784256872748761</c:v>
                      </c:pt>
                      <c:pt idx="113">
                        <c:v>1.9080072501600793</c:v>
                      </c:pt>
                      <c:pt idx="114">
                        <c:v>1.937796016246137</c:v>
                      </c:pt>
                      <c:pt idx="115">
                        <c:v>1.9677914718282916</c:v>
                      </c:pt>
                      <c:pt idx="116">
                        <c:v>1.9979931032017859</c:v>
                      </c:pt>
                      <c:pt idx="117">
                        <c:v>2.0284003966618611</c:v>
                      </c:pt>
                      <c:pt idx="118">
                        <c:v>2.0590128385037612</c:v>
                      </c:pt>
                      <c:pt idx="119">
                        <c:v>2.0898299150227264</c:v>
                      </c:pt>
                      <c:pt idx="120">
                        <c:v>2.1208511125140008</c:v>
                      </c:pt>
                      <c:pt idx="121">
                        <c:v>2.1520759172728257</c:v>
                      </c:pt>
                      <c:pt idx="122">
                        <c:v>2.1835038155944435</c:v>
                      </c:pt>
                      <c:pt idx="123">
                        <c:v>2.2151342937740965</c:v>
                      </c:pt>
                      <c:pt idx="124">
                        <c:v>2.2469668381070278</c:v>
                      </c:pt>
                      <c:pt idx="125">
                        <c:v>2.2790009348884777</c:v>
                      </c:pt>
                      <c:pt idx="126">
                        <c:v>2.3112360704136909</c:v>
                      </c:pt>
                      <c:pt idx="127">
                        <c:v>2.3436717309779076</c:v>
                      </c:pt>
                      <c:pt idx="128">
                        <c:v>2.376307402876372</c:v>
                      </c:pt>
                      <c:pt idx="129">
                        <c:v>2.4091425724043249</c:v>
                      </c:pt>
                      <c:pt idx="130">
                        <c:v>2.4421767258570091</c:v>
                      </c:pt>
                      <c:pt idx="131">
                        <c:v>2.4754093495296674</c:v>
                      </c:pt>
                      <c:pt idx="132">
                        <c:v>2.5088399297175403</c:v>
                      </c:pt>
                      <c:pt idx="133">
                        <c:v>2.5424679527158727</c:v>
                      </c:pt>
                      <c:pt idx="134">
                        <c:v>2.5762929048199044</c:v>
                      </c:pt>
                      <c:pt idx="135">
                        <c:v>2.6103142723248798</c:v>
                      </c:pt>
                      <c:pt idx="136">
                        <c:v>2.6445315415260398</c:v>
                      </c:pt>
                      <c:pt idx="137">
                        <c:v>2.6789441987186269</c:v>
                      </c:pt>
                      <c:pt idx="138">
                        <c:v>2.7135517301978842</c:v>
                      </c:pt>
                      <c:pt idx="139">
                        <c:v>2.7483536222590526</c:v>
                      </c:pt>
                      <c:pt idx="140">
                        <c:v>2.7833493611973759</c:v>
                      </c:pt>
                      <c:pt idx="141">
                        <c:v>2.8185384333080949</c:v>
                      </c:pt>
                      <c:pt idx="142">
                        <c:v>2.8539203248864533</c:v>
                      </c:pt>
                      <c:pt idx="143">
                        <c:v>2.8894945222276927</c:v>
                      </c:pt>
                      <c:pt idx="144">
                        <c:v>2.9252605116270547</c:v>
                      </c:pt>
                      <c:pt idx="145">
                        <c:v>2.9612177793797825</c:v>
                      </c:pt>
                      <c:pt idx="146">
                        <c:v>2.9973658117811182</c:v>
                      </c:pt>
                      <c:pt idx="147">
                        <c:v>3.0337040951263043</c:v>
                      </c:pt>
                      <c:pt idx="148">
                        <c:v>3.0702321157105827</c:v>
                      </c:pt>
                      <c:pt idx="149">
                        <c:v>3.1069493598291955</c:v>
                      </c:pt>
                      <c:pt idx="150">
                        <c:v>3.1438553137773853</c:v>
                      </c:pt>
                      <c:pt idx="151">
                        <c:v>3.180949463850395</c:v>
                      </c:pt>
                      <c:pt idx="152">
                        <c:v>3.2182312963434661</c:v>
                      </c:pt>
                      <c:pt idx="153">
                        <c:v>3.255700297551841</c:v>
                      </c:pt>
                      <c:pt idx="154">
                        <c:v>3.2933559537707615</c:v>
                      </c:pt>
                      <c:pt idx="155">
                        <c:v>3.3311977512954707</c:v>
                      </c:pt>
                      <c:pt idx="156">
                        <c:v>3.3692251764212111</c:v>
                      </c:pt>
                      <c:pt idx="157">
                        <c:v>3.407437715443224</c:v>
                      </c:pt>
                      <c:pt idx="158">
                        <c:v>3.4458348546567521</c:v>
                      </c:pt>
                      <c:pt idx="159">
                        <c:v>3.4844160803570383</c:v>
                      </c:pt>
                      <c:pt idx="160">
                        <c:v>3.523180878839324</c:v>
                      </c:pt>
                      <c:pt idx="161">
                        <c:v>3.5621287363988525</c:v>
                      </c:pt>
                      <c:pt idx="162">
                        <c:v>3.6012591393308648</c:v>
                      </c:pt>
                      <c:pt idx="163">
                        <c:v>3.640571573930603</c:v>
                      </c:pt>
                      <c:pt idx="164">
                        <c:v>3.6800655264933115</c:v>
                      </c:pt>
                      <c:pt idx="165">
                        <c:v>3.7197404833142311</c:v>
                      </c:pt>
                      <c:pt idx="166">
                        <c:v>3.759595930688604</c:v>
                      </c:pt>
                      <c:pt idx="167">
                        <c:v>3.7996313549116727</c:v>
                      </c:pt>
                      <c:pt idx="168">
                        <c:v>3.8398462422786794</c:v>
                      </c:pt>
                      <c:pt idx="169">
                        <c:v>3.8802400790848668</c:v>
                      </c:pt>
                      <c:pt idx="170">
                        <c:v>3.920812351625476</c:v>
                      </c:pt>
                      <c:pt idx="171">
                        <c:v>3.9615625461957515</c:v>
                      </c:pt>
                      <c:pt idx="172">
                        <c:v>4.0024901490909341</c:v>
                      </c:pt>
                      <c:pt idx="173">
                        <c:v>4.043594646606266</c:v>
                      </c:pt>
                      <c:pt idx="174">
                        <c:v>4.0848755250369901</c:v>
                      </c:pt>
                      <c:pt idx="175">
                        <c:v>4.1263322706783478</c:v>
                      </c:pt>
                      <c:pt idx="176">
                        <c:v>4.1679643698255822</c:v>
                      </c:pt>
                      <c:pt idx="177">
                        <c:v>4.2097713087739344</c:v>
                      </c:pt>
                      <c:pt idx="178">
                        <c:v>4.2517525738186484</c:v>
                      </c:pt>
                      <c:pt idx="179">
                        <c:v>4.2939076512549654</c:v>
                      </c:pt>
                      <c:pt idx="180">
                        <c:v>4.3362360273781286</c:v>
                      </c:pt>
                      <c:pt idx="181">
                        <c:v>4.3787371884833783</c:v>
                      </c:pt>
                      <c:pt idx="182">
                        <c:v>4.4214106208659594</c:v>
                      </c:pt>
                      <c:pt idx="183">
                        <c:v>4.4642558108211121</c:v>
                      </c:pt>
                      <c:pt idx="184">
                        <c:v>4.5072722446440814</c:v>
                      </c:pt>
                      <c:pt idx="185">
                        <c:v>4.5504594086301067</c:v>
                      </c:pt>
                      <c:pt idx="186">
                        <c:v>4.5938167890744301</c:v>
                      </c:pt>
                      <c:pt idx="187">
                        <c:v>4.6373438722722948</c:v>
                      </c:pt>
                      <c:pt idx="188">
                        <c:v>4.6810401445189438</c:v>
                      </c:pt>
                      <c:pt idx="189">
                        <c:v>4.724905092109621</c:v>
                      </c:pt>
                      <c:pt idx="190">
                        <c:v>4.7689382013395649</c:v>
                      </c:pt>
                      <c:pt idx="191">
                        <c:v>4.8131389585040196</c:v>
                      </c:pt>
                      <c:pt idx="192">
                        <c:v>4.8575068498982272</c:v>
                      </c:pt>
                      <c:pt idx="193">
                        <c:v>4.9020413618174299</c:v>
                      </c:pt>
                      <c:pt idx="194">
                        <c:v>4.9467419805568706</c:v>
                      </c:pt>
                      <c:pt idx="195">
                        <c:v>4.9916081924117917</c:v>
                      </c:pt>
                      <c:pt idx="196">
                        <c:v>5.0366394836774333</c:v>
                      </c:pt>
                      <c:pt idx="197">
                        <c:v>5.0818353406490404</c:v>
                      </c:pt>
                      <c:pt idx="198">
                        <c:v>5.1271952496218534</c:v>
                      </c:pt>
                      <c:pt idx="199">
                        <c:v>5.1727186968911161</c:v>
                      </c:pt>
                      <c:pt idx="200">
                        <c:v>5.2184051687520707</c:v>
                      </c:pt>
                      <c:pt idx="201">
                        <c:v>5.2642541514999577</c:v>
                      </c:pt>
                      <c:pt idx="202">
                        <c:v>5.3102651314300209</c:v>
                      </c:pt>
                      <c:pt idx="203">
                        <c:v>5.3564375948375025</c:v>
                      </c:pt>
                      <c:pt idx="204">
                        <c:v>5.4027710280176438</c:v>
                      </c:pt>
                      <c:pt idx="205">
                        <c:v>5.4492649172656877</c:v>
                      </c:pt>
                      <c:pt idx="206">
                        <c:v>5.4959187488768766</c:v>
                      </c:pt>
                      <c:pt idx="207">
                        <c:v>5.5427320091464551</c:v>
                      </c:pt>
                      <c:pt idx="208">
                        <c:v>5.5897041843696602</c:v>
                      </c:pt>
                      <c:pt idx="209">
                        <c:v>5.6368347608417384</c:v>
                      </c:pt>
                      <c:pt idx="210">
                        <c:v>5.684123224857931</c:v>
                      </c:pt>
                      <c:pt idx="211">
                        <c:v>5.7315690627134783</c:v>
                      </c:pt>
                      <c:pt idx="212">
                        <c:v>5.7791717607036261</c:v>
                      </c:pt>
                      <c:pt idx="213">
                        <c:v>5.8269308051236148</c:v>
                      </c:pt>
                      <c:pt idx="214">
                        <c:v>5.8748456822686865</c:v>
                      </c:pt>
                      <c:pt idx="215">
                        <c:v>5.9229158784340843</c:v>
                      </c:pt>
                      <c:pt idx="216">
                        <c:v>5.9711408799150476</c:v>
                      </c:pt>
                      <c:pt idx="217">
                        <c:v>6.0195201730068231</c:v>
                      </c:pt>
                      <c:pt idx="218">
                        <c:v>6.0680532440046502</c:v>
                      </c:pt>
                      <c:pt idx="219">
                        <c:v>6.116739579203772</c:v>
                      </c:pt>
                      <c:pt idx="220">
                        <c:v>6.1655786648994315</c:v>
                      </c:pt>
                      <c:pt idx="221">
                        <c:v>6.2145699873868701</c:v>
                      </c:pt>
                      <c:pt idx="222">
                        <c:v>6.2637130329613298</c:v>
                      </c:pt>
                      <c:pt idx="223">
                        <c:v>6.3130072879180537</c:v>
                      </c:pt>
                      <c:pt idx="224">
                        <c:v>6.3624522385522821</c:v>
                      </c:pt>
                      <c:pt idx="225">
                        <c:v>6.4120473711592618</c:v>
                      </c:pt>
                      <c:pt idx="226">
                        <c:v>6.4617921720342295</c:v>
                      </c:pt>
                      <c:pt idx="227">
                        <c:v>6.5116861274724327</c:v>
                      </c:pt>
                      <c:pt idx="228">
                        <c:v>6.5617287237691082</c:v>
                      </c:pt>
                      <c:pt idx="229">
                        <c:v>6.6119194472195026</c:v>
                      </c:pt>
                      <c:pt idx="230">
                        <c:v>6.6622577841188573</c:v>
                      </c:pt>
                      <c:pt idx="231">
                        <c:v>6.7127432207624143</c:v>
                      </c:pt>
                      <c:pt idx="232">
                        <c:v>6.763375243445414</c:v>
                      </c:pt>
                      <c:pt idx="233">
                        <c:v>6.8141533384631012</c:v>
                      </c:pt>
                      <c:pt idx="234">
                        <c:v>6.8650769921107182</c:v>
                      </c:pt>
                      <c:pt idx="235">
                        <c:v>6.916145690683507</c:v>
                      </c:pt>
                      <c:pt idx="236">
                        <c:v>6.9673589204767081</c:v>
                      </c:pt>
                      <c:pt idx="237">
                        <c:v>7.0187161677855645</c:v>
                      </c:pt>
                      <c:pt idx="238">
                        <c:v>7.070216918905321</c:v>
                      </c:pt>
                      <c:pt idx="239">
                        <c:v>7.1218606601312153</c:v>
                      </c:pt>
                      <c:pt idx="240">
                        <c:v>7.173646877758495</c:v>
                      </c:pt>
                      <c:pt idx="241">
                        <c:v>7.2255750580823985</c:v>
                      </c:pt>
                      <c:pt idx="242">
                        <c:v>7.2776446873981682</c:v>
                      </c:pt>
                      <c:pt idx="243">
                        <c:v>7.3298552520010487</c:v>
                      </c:pt>
                      <c:pt idx="244">
                        <c:v>7.3822062381862796</c:v>
                      </c:pt>
                      <c:pt idx="245">
                        <c:v>7.4346971322491058</c:v>
                      </c:pt>
                      <c:pt idx="246">
                        <c:v>7.4873274204847666</c:v>
                      </c:pt>
                      <c:pt idx="247">
                        <c:v>7.5400965891885097</c:v>
                      </c:pt>
                      <c:pt idx="248">
                        <c:v>7.59300412465557</c:v>
                      </c:pt>
                      <c:pt idx="249">
                        <c:v>7.6460495131811967</c:v>
                      </c:pt>
                      <c:pt idx="250">
                        <c:v>7.6992322410606242</c:v>
                      </c:pt>
                      <c:pt idx="251">
                        <c:v>7.7525517945891051</c:v>
                      </c:pt>
                      <c:pt idx="252">
                        <c:v>7.8060076600618729</c:v>
                      </c:pt>
                      <c:pt idx="253">
                        <c:v>7.8595993237741739</c:v>
                      </c:pt>
                      <c:pt idx="254">
                        <c:v>7.9133262720212478</c:v>
                      </c:pt>
                      <c:pt idx="255">
                        <c:v>7.9671879910983421</c:v>
                      </c:pt>
                      <c:pt idx="256">
                        <c:v>8.0211839673006935</c:v>
                      </c:pt>
                      <c:pt idx="257">
                        <c:v>8.0753136869235487</c:v>
                      </c:pt>
                      <c:pt idx="258">
                        <c:v>8.1295766362621453</c:v>
                      </c:pt>
                      <c:pt idx="259">
                        <c:v>8.1839723016117283</c:v>
                      </c:pt>
                      <c:pt idx="260">
                        <c:v>8.2385001692675388</c:v>
                      </c:pt>
                      <c:pt idx="261">
                        <c:v>8.2931597255248235</c:v>
                      </c:pt>
                      <c:pt idx="262">
                        <c:v>8.3479504566788165</c:v>
                      </c:pt>
                      <c:pt idx="263">
                        <c:v>8.402871849024768</c:v>
                      </c:pt>
                      <c:pt idx="264">
                        <c:v>8.4579233888579139</c:v>
                      </c:pt>
                      <c:pt idx="265">
                        <c:v>8.5131045624735027</c:v>
                      </c:pt>
                      <c:pt idx="266">
                        <c:v>8.5684148561667719</c:v>
                      </c:pt>
                      <c:pt idx="267">
                        <c:v>8.6238537562329682</c:v>
                      </c:pt>
                      <c:pt idx="268">
                        <c:v>8.6794207489673276</c:v>
                      </c:pt>
                      <c:pt idx="269">
                        <c:v>8.7351153206650984</c:v>
                      </c:pt>
                      <c:pt idx="270">
                        <c:v>8.7909369576215184</c:v>
                      </c:pt>
                      <c:pt idx="271">
                        <c:v>8.8468851461318359</c:v>
                      </c:pt>
                      <c:pt idx="272">
                        <c:v>8.902959372491285</c:v>
                      </c:pt>
                      <c:pt idx="273">
                        <c:v>8.9591591229951142</c:v>
                      </c:pt>
                      <c:pt idx="274">
                        <c:v>9.0154838839385611</c:v>
                      </c:pt>
                      <c:pt idx="275">
                        <c:v>9.071933141616876</c:v>
                      </c:pt>
                      <c:pt idx="276">
                        <c:v>9.1285063823252894</c:v>
                      </c:pt>
                      <c:pt idx="277">
                        <c:v>9.1852030923590533</c:v>
                      </c:pt>
                      <c:pt idx="278">
                        <c:v>9.2420227580134053</c:v>
                      </c:pt>
                      <c:pt idx="279">
                        <c:v>9.2989648655835939</c:v>
                      </c:pt>
                      <c:pt idx="280">
                        <c:v>9.3560289013648497</c:v>
                      </c:pt>
                      <c:pt idx="281">
                        <c:v>9.4132143516524263</c:v>
                      </c:pt>
                      <c:pt idx="282">
                        <c:v>9.4705207027415597</c:v>
                      </c:pt>
                      <c:pt idx="283">
                        <c:v>9.5279474409274965</c:v>
                      </c:pt>
                      <c:pt idx="284">
                        <c:v>9.5854940525054744</c:v>
                      </c:pt>
                      <c:pt idx="285">
                        <c:v>9.64316002377074</c:v>
                      </c:pt>
                      <c:pt idx="286">
                        <c:v>9.7009448410185293</c:v>
                      </c:pt>
                      <c:pt idx="287">
                        <c:v>9.7588479905440906</c:v>
                      </c:pt>
                      <c:pt idx="288">
                        <c:v>9.8168689586426652</c:v>
                      </c:pt>
                      <c:pt idx="289">
                        <c:v>9.8750072316094961</c:v>
                      </c:pt>
                      <c:pt idx="290">
                        <c:v>9.9332622957398193</c:v>
                      </c:pt>
                      <c:pt idx="291">
                        <c:v>9.991633637328885</c:v>
                      </c:pt>
                      <c:pt idx="292">
                        <c:v>10.050120742671931</c:v>
                      </c:pt>
                      <c:pt idx="293">
                        <c:v>10.108723098064203</c:v>
                      </c:pt>
                      <c:pt idx="294">
                        <c:v>10.167440189800937</c:v>
                      </c:pt>
                      <c:pt idx="295">
                        <c:v>10.226271504177383</c:v>
                      </c:pt>
                      <c:pt idx="296">
                        <c:v>10.285216527488776</c:v>
                      </c:pt>
                      <c:pt idx="297">
                        <c:v>10.344274746030367</c:v>
                      </c:pt>
                      <c:pt idx="298">
                        <c:v>10.403445646097389</c:v>
                      </c:pt>
                      <c:pt idx="299">
                        <c:v>10.46272871398509</c:v>
                      </c:pt>
                      <c:pt idx="300">
                        <c:v>10.522123435988709</c:v>
                      </c:pt>
                      <c:pt idx="301">
                        <c:v>10.581629298403493</c:v>
                      </c:pt>
                      <c:pt idx="302">
                        <c:v>10.641245787524682</c:v>
                      </c:pt>
                      <c:pt idx="303">
                        <c:v>10.700972389647516</c:v>
                      </c:pt>
                      <c:pt idx="304">
                        <c:v>10.760808591067239</c:v>
                      </c:pt>
                      <c:pt idx="305">
                        <c:v>10.82075387807909</c:v>
                      </c:pt>
                      <c:pt idx="306">
                        <c:v>10.880807736978319</c:v>
                      </c:pt>
                      <c:pt idx="307">
                        <c:v>10.940969654060162</c:v>
                      </c:pt>
                      <c:pt idx="308">
                        <c:v>11.00123911561986</c:v>
                      </c:pt>
                      <c:pt idx="309">
                        <c:v>11.061615607952664</c:v>
                      </c:pt>
                      <c:pt idx="310">
                        <c:v>11.122098617353808</c:v>
                      </c:pt>
                      <c:pt idx="311">
                        <c:v>11.182687630118538</c:v>
                      </c:pt>
                      <c:pt idx="312">
                        <c:v>11.243382132542093</c:v>
                      </c:pt>
                      <c:pt idx="313">
                        <c:v>11.304181610919724</c:v>
                      </c:pt>
                      <c:pt idx="314">
                        <c:v>11.365085551546656</c:v>
                      </c:pt>
                      <c:pt idx="315">
                        <c:v>11.426093440718152</c:v>
                      </c:pt>
                      <c:pt idx="316">
                        <c:v>11.487204764729437</c:v>
                      </c:pt>
                      <c:pt idx="317">
                        <c:v>11.548419009875765</c:v>
                      </c:pt>
                      <c:pt idx="318">
                        <c:v>11.609735662452373</c:v>
                      </c:pt>
                      <c:pt idx="319">
                        <c:v>11.671154208754503</c:v>
                      </c:pt>
                      <c:pt idx="320">
                        <c:v>11.732674135077399</c:v>
                      </c:pt>
                      <c:pt idx="321">
                        <c:v>11.794294927716304</c:v>
                      </c:pt>
                      <c:pt idx="322">
                        <c:v>11.856016072966458</c:v>
                      </c:pt>
                      <c:pt idx="323">
                        <c:v>11.917837057123107</c:v>
                      </c:pt>
                      <c:pt idx="324">
                        <c:v>11.979757366481488</c:v>
                      </c:pt>
                      <c:pt idx="325">
                        <c:v>12.041776487336845</c:v>
                      </c:pt>
                      <c:pt idx="326">
                        <c:v>12.103893905984421</c:v>
                      </c:pt>
                      <c:pt idx="327">
                        <c:v>12.166109108719461</c:v>
                      </c:pt>
                      <c:pt idx="328">
                        <c:v>12.228421581837202</c:v>
                      </c:pt>
                      <c:pt idx="329">
                        <c:v>12.290830811632892</c:v>
                      </c:pt>
                      <c:pt idx="330">
                        <c:v>12.353336284401768</c:v>
                      </c:pt>
                      <c:pt idx="331">
                        <c:v>12.415937486439079</c:v>
                      </c:pt>
                      <c:pt idx="332">
                        <c:v>12.478633904040056</c:v>
                      </c:pt>
                      <c:pt idx="333">
                        <c:v>12.541425023499952</c:v>
                      </c:pt>
                      <c:pt idx="334">
                        <c:v>12.604310331114005</c:v>
                      </c:pt>
                      <c:pt idx="335">
                        <c:v>12.667289313177459</c:v>
                      </c:pt>
                      <c:pt idx="336">
                        <c:v>12.730361455985552</c:v>
                      </c:pt>
                      <c:pt idx="337">
                        <c:v>12.793526245833533</c:v>
                      </c:pt>
                      <c:pt idx="338">
                        <c:v>12.856783169016639</c:v>
                      </c:pt>
                      <c:pt idx="339">
                        <c:v>12.920131711830114</c:v>
                      </c:pt>
                      <c:pt idx="340">
                        <c:v>12.983571360569199</c:v>
                      </c:pt>
                      <c:pt idx="341">
                        <c:v>13.047101601529143</c:v>
                      </c:pt>
                      <c:pt idx="342">
                        <c:v>13.110721921005174</c:v>
                      </c:pt>
                      <c:pt idx="343">
                        <c:v>13.174431805292551</c:v>
                      </c:pt>
                      <c:pt idx="344">
                        <c:v>13.238230740686502</c:v>
                      </c:pt>
                      <c:pt idx="345">
                        <c:v>13.302118213482281</c:v>
                      </c:pt>
                      <c:pt idx="346">
                        <c:v>13.36609370997512</c:v>
                      </c:pt>
                      <c:pt idx="347">
                        <c:v>13.430156716460271</c:v>
                      </c:pt>
                      <c:pt idx="348">
                        <c:v>13.494306719232966</c:v>
                      </c:pt>
                      <c:pt idx="349">
                        <c:v>13.558543204588457</c:v>
                      </c:pt>
                      <c:pt idx="350">
                        <c:v>13.622865658821979</c:v>
                      </c:pt>
                      <c:pt idx="351">
                        <c:v>13.687273568228782</c:v>
                      </c:pt>
                      <c:pt idx="352">
                        <c:v>13.751766419104101</c:v>
                      </c:pt>
                      <c:pt idx="353">
                        <c:v>13.81634369774318</c:v>
                      </c:pt>
                      <c:pt idx="354">
                        <c:v>13.881004890441259</c:v>
                      </c:pt>
                      <c:pt idx="355">
                        <c:v>13.945749483493593</c:v>
                      </c:pt>
                      <c:pt idx="356">
                        <c:v>14.010576963195403</c:v>
                      </c:pt>
                      <c:pt idx="357">
                        <c:v>14.075486815841952</c:v>
                      </c:pt>
                      <c:pt idx="358">
                        <c:v>14.140478527728472</c:v>
                      </c:pt>
                      <c:pt idx="359">
                        <c:v>14.205551585150204</c:v>
                      </c:pt>
                      <c:pt idx="360">
                        <c:v>14.270705474402394</c:v>
                      </c:pt>
                      <c:pt idx="361">
                        <c:v>14.335939681780285</c:v>
                      </c:pt>
                      <c:pt idx="362">
                        <c:v>14.401253693579111</c:v>
                      </c:pt>
                      <c:pt idx="363">
                        <c:v>14.466646996094131</c:v>
                      </c:pt>
                      <c:pt idx="364">
                        <c:v>14.532119075620569</c:v>
                      </c:pt>
                      <c:pt idx="365">
                        <c:v>14.59766941845368</c:v>
                      </c:pt>
                      <c:pt idx="366">
                        <c:v>14.663297510888697</c:v>
                      </c:pt>
                      <c:pt idx="367">
                        <c:v>14.729002839220872</c:v>
                      </c:pt>
                      <c:pt idx="368">
                        <c:v>14.794784889745438</c:v>
                      </c:pt>
                      <c:pt idx="369">
                        <c:v>14.860643148757642</c:v>
                      </c:pt>
                      <c:pt idx="370">
                        <c:v>14.926577102552729</c:v>
                      </c:pt>
                      <c:pt idx="371">
                        <c:v>14.992586237425936</c:v>
                      </c:pt>
                      <c:pt idx="372">
                        <c:v>15.058670039672505</c:v>
                      </c:pt>
                      <c:pt idx="373">
                        <c:v>15.124827995587685</c:v>
                      </c:pt>
                      <c:pt idx="374">
                        <c:v>15.191059591466708</c:v>
                      </c:pt>
                      <c:pt idx="375">
                        <c:v>15.257364313604832</c:v>
                      </c:pt>
                      <c:pt idx="376">
                        <c:v>15.323741648297275</c:v>
                      </c:pt>
                      <c:pt idx="377">
                        <c:v>15.390191081839307</c:v>
                      </c:pt>
                      <c:pt idx="378">
                        <c:v>15.456712100526151</c:v>
                      </c:pt>
                      <c:pt idx="379">
                        <c:v>15.523304190653057</c:v>
                      </c:pt>
                      <c:pt idx="380">
                        <c:v>15.589966838515265</c:v>
                      </c:pt>
                      <c:pt idx="381">
                        <c:v>15.656699530408016</c:v>
                      </c:pt>
                      <c:pt idx="382">
                        <c:v>15.723501752626557</c:v>
                      </c:pt>
                      <c:pt idx="383">
                        <c:v>15.790372991466127</c:v>
                      </c:pt>
                      <c:pt idx="384">
                        <c:v>15.857312733221967</c:v>
                      </c:pt>
                      <c:pt idx="385">
                        <c:v>15.924320464189325</c:v>
                      </c:pt>
                      <c:pt idx="386">
                        <c:v>15.991395670663431</c:v>
                      </c:pt>
                      <c:pt idx="387">
                        <c:v>16.05853783893955</c:v>
                      </c:pt>
                      <c:pt idx="388">
                        <c:v>16.125746455312896</c:v>
                      </c:pt>
                      <c:pt idx="389">
                        <c:v>16.193021006078734</c:v>
                      </c:pt>
                      <c:pt idx="390">
                        <c:v>16.260360977532294</c:v>
                      </c:pt>
                      <c:pt idx="391">
                        <c:v>16.327765855968824</c:v>
                      </c:pt>
                      <c:pt idx="392">
                        <c:v>16.395235127683556</c:v>
                      </c:pt>
                      <c:pt idx="393">
                        <c:v>16.462768278971748</c:v>
                      </c:pt>
                      <c:pt idx="394">
                        <c:v>16.53036479612863</c:v>
                      </c:pt>
                      <c:pt idx="395">
                        <c:v>16.598024165449456</c:v>
                      </c:pt>
                      <c:pt idx="396">
                        <c:v>16.665745873229451</c:v>
                      </c:pt>
                      <c:pt idx="397">
                        <c:v>16.733529405763878</c:v>
                      </c:pt>
                      <c:pt idx="398">
                        <c:v>16.801374249347958</c:v>
                      </c:pt>
                      <c:pt idx="399">
                        <c:v>16.869279890276953</c:v>
                      </c:pt>
                      <c:pt idx="400">
                        <c:v>16.937245814846094</c:v>
                      </c:pt>
                      <c:pt idx="401">
                        <c:v>17.005271509350624</c:v>
                      </c:pt>
                      <c:pt idx="402">
                        <c:v>17.073356460085783</c:v>
                      </c:pt>
                      <c:pt idx="403">
                        <c:v>17.141500153346826</c:v>
                      </c:pt>
                      <c:pt idx="404">
                        <c:v>17.209702075428979</c:v>
                      </c:pt>
                      <c:pt idx="405">
                        <c:v>17.277961712627501</c:v>
                      </c:pt>
                      <c:pt idx="406">
                        <c:v>17.346278551237614</c:v>
                      </c:pt>
                      <c:pt idx="407">
                        <c:v>17.414652077554578</c:v>
                      </c:pt>
                      <c:pt idx="408">
                        <c:v>17.483081777873629</c:v>
                      </c:pt>
                      <c:pt idx="409">
                        <c:v>17.551567138490007</c:v>
                      </c:pt>
                      <c:pt idx="410">
                        <c:v>17.620107645698951</c:v>
                      </c:pt>
                      <c:pt idx="411">
                        <c:v>17.688702785795716</c:v>
                      </c:pt>
                      <c:pt idx="412">
                        <c:v>17.757352045075532</c:v>
                      </c:pt>
                      <c:pt idx="413">
                        <c:v>17.826054909833651</c:v>
                      </c:pt>
                      <c:pt idx="414">
                        <c:v>17.894810866365304</c:v>
                      </c:pt>
                      <c:pt idx="415">
                        <c:v>17.963619400965747</c:v>
                      </c:pt>
                      <c:pt idx="416">
                        <c:v>18.032479999930207</c:v>
                      </c:pt>
                      <c:pt idx="417">
                        <c:v>18.101392149553945</c:v>
                      </c:pt>
                      <c:pt idx="418">
                        <c:v>18.170355336132182</c:v>
                      </c:pt>
                      <c:pt idx="419">
                        <c:v>18.239369045960174</c:v>
                      </c:pt>
                      <c:pt idx="420">
                        <c:v>18.308432765333158</c:v>
                      </c:pt>
                      <c:pt idx="421">
                        <c:v>18.377545980546383</c:v>
                      </c:pt>
                      <c:pt idx="422">
                        <c:v>18.446708177895083</c:v>
                      </c:pt>
                      <c:pt idx="423">
                        <c:v>18.515918843674505</c:v>
                      </c:pt>
                      <c:pt idx="424">
                        <c:v>18.585177464179889</c:v>
                      </c:pt>
                      <c:pt idx="425">
                        <c:v>18.654483525706482</c:v>
                      </c:pt>
                      <c:pt idx="426">
                        <c:v>18.723836514549518</c:v>
                      </c:pt>
                      <c:pt idx="427">
                        <c:v>18.79323591700425</c:v>
                      </c:pt>
                      <c:pt idx="428">
                        <c:v>18.862681219365911</c:v>
                      </c:pt>
                      <c:pt idx="429">
                        <c:v>18.932171907929746</c:v>
                      </c:pt>
                      <c:pt idx="430">
                        <c:v>19.001707468990997</c:v>
                      </c:pt>
                      <c:pt idx="431">
                        <c:v>19.071287388844908</c:v>
                      </c:pt>
                      <c:pt idx="432">
                        <c:v>19.140911153786721</c:v>
                      </c:pt>
                      <c:pt idx="433">
                        <c:v>19.210578250111677</c:v>
                      </c:pt>
                      <c:pt idx="434">
                        <c:v>19.280288164115017</c:v>
                      </c:pt>
                      <c:pt idx="435">
                        <c:v>19.35004038209199</c:v>
                      </c:pt>
                      <c:pt idx="436">
                        <c:v>19.419834390337829</c:v>
                      </c:pt>
                      <c:pt idx="437">
                        <c:v>19.489669675147788</c:v>
                      </c:pt>
                      <c:pt idx="438">
                        <c:v>19.559545722817091</c:v>
                      </c:pt>
                      <c:pt idx="439">
                        <c:v>19.629462019641</c:v>
                      </c:pt>
                      <c:pt idx="440">
                        <c:v>19.699418051914748</c:v>
                      </c:pt>
                      <c:pt idx="441">
                        <c:v>19.769413305933579</c:v>
                      </c:pt>
                      <c:pt idx="442">
                        <c:v>19.839447267992728</c:v>
                      </c:pt>
                      <c:pt idx="443">
                        <c:v>19.909519424387454</c:v>
                      </c:pt>
                      <c:pt idx="444">
                        <c:v>19.979629261412978</c:v>
                      </c:pt>
                      <c:pt idx="445">
                        <c:v>20.04977626536456</c:v>
                      </c:pt>
                      <c:pt idx="446">
                        <c:v>20.119959922537429</c:v>
                      </c:pt>
                      <c:pt idx="447">
                        <c:v>20.19017971922684</c:v>
                      </c:pt>
                      <c:pt idx="448">
                        <c:v>20.260435141728024</c:v>
                      </c:pt>
                      <c:pt idx="449">
                        <c:v>20.330725676336236</c:v>
                      </c:pt>
                      <c:pt idx="450">
                        <c:v>20.4010508093467</c:v>
                      </c:pt>
                      <c:pt idx="451">
                        <c:v>20.471410027054681</c:v>
                      </c:pt>
                      <c:pt idx="452">
                        <c:v>20.541802815755396</c:v>
                      </c:pt>
                      <c:pt idx="453">
                        <c:v>20.612228661744108</c:v>
                      </c:pt>
                      <c:pt idx="454">
                        <c:v>20.682687051316051</c:v>
                      </c:pt>
                      <c:pt idx="455">
                        <c:v>20.75317747076647</c:v>
                      </c:pt>
                      <c:pt idx="456">
                        <c:v>20.823699406390599</c:v>
                      </c:pt>
                      <c:pt idx="457">
                        <c:v>20.894252344483693</c:v>
                      </c:pt>
                      <c:pt idx="458">
                        <c:v>20.964835771340983</c:v>
                      </c:pt>
                      <c:pt idx="459">
                        <c:v>21.035449173257724</c:v>
                      </c:pt>
                      <c:pt idx="460">
                        <c:v>21.106092036529141</c:v>
                      </c:pt>
                      <c:pt idx="461">
                        <c:v>21.176763847450491</c:v>
                      </c:pt>
                      <c:pt idx="462">
                        <c:v>21.247464092317006</c:v>
                      </c:pt>
                      <c:pt idx="463">
                        <c:v>21.318192257423942</c:v>
                      </c:pt>
                      <c:pt idx="464">
                        <c:v>21.388947829066524</c:v>
                      </c:pt>
                      <c:pt idx="465">
                        <c:v>21.459730293540009</c:v>
                      </c:pt>
                      <c:pt idx="466">
                        <c:v>21.530539137139627</c:v>
                      </c:pt>
                      <c:pt idx="467">
                        <c:v>21.601373846160634</c:v>
                      </c:pt>
                      <c:pt idx="468">
                        <c:v>21.672233906898256</c:v>
                      </c:pt>
                      <c:pt idx="469">
                        <c:v>21.743118805647754</c:v>
                      </c:pt>
                      <c:pt idx="470">
                        <c:v>21.81402802870435</c:v>
                      </c:pt>
                      <c:pt idx="471">
                        <c:v>21.884961062363306</c:v>
                      </c:pt>
                      <c:pt idx="472">
                        <c:v>21.955917392919847</c:v>
                      </c:pt>
                      <c:pt idx="473">
                        <c:v>22.026896506669232</c:v>
                      </c:pt>
                      <c:pt idx="474">
                        <c:v>22.097897889906683</c:v>
                      </c:pt>
                      <c:pt idx="475">
                        <c:v>22.168921028927461</c:v>
                      </c:pt>
                      <c:pt idx="476">
                        <c:v>22.239965410026798</c:v>
                      </c:pt>
                      <c:pt idx="477">
                        <c:v>22.311030519499944</c:v>
                      </c:pt>
                      <c:pt idx="478">
                        <c:v>22.382115843642133</c:v>
                      </c:pt>
                      <c:pt idx="479">
                        <c:v>22.453220868748613</c:v>
                      </c:pt>
                      <c:pt idx="480">
                        <c:v>22.524345081114618</c:v>
                      </c:pt>
                      <c:pt idx="481">
                        <c:v>22.5954879670354</c:v>
                      </c:pt>
                      <c:pt idx="482">
                        <c:v>22.6666490128062</c:v>
                      </c:pt>
                      <c:pt idx="483">
                        <c:v>22.737827704722257</c:v>
                      </c:pt>
                      <c:pt idx="484">
                        <c:v>22.809023529078811</c:v>
                      </c:pt>
                      <c:pt idx="485">
                        <c:v>22.880235972171114</c:v>
                      </c:pt>
                      <c:pt idx="486">
                        <c:v>22.951464520294397</c:v>
                      </c:pt>
                      <c:pt idx="487">
                        <c:v>23.022708659743913</c:v>
                      </c:pt>
                      <c:pt idx="488">
                        <c:v>23.093967876814887</c:v>
                      </c:pt>
                      <c:pt idx="489">
                        <c:v>23.165241657802579</c:v>
                      </c:pt>
                      <c:pt idx="490">
                        <c:v>23.236529489002226</c:v>
                      </c:pt>
                      <c:pt idx="491">
                        <c:v>23.307830856709074</c:v>
                      </c:pt>
                      <c:pt idx="492">
                        <c:v>23.379145247218354</c:v>
                      </c:pt>
                      <c:pt idx="493">
                        <c:v>23.450472146825316</c:v>
                      </c:pt>
                      <c:pt idx="494">
                        <c:v>23.521811041825202</c:v>
                      </c:pt>
                      <c:pt idx="495">
                        <c:v>23.593161418513255</c:v>
                      </c:pt>
                      <c:pt idx="496">
                        <c:v>23.66452276318471</c:v>
                      </c:pt>
                      <c:pt idx="497">
                        <c:v>23.735894562134824</c:v>
                      </c:pt>
                      <c:pt idx="498">
                        <c:v>23.807276301658813</c:v>
                      </c:pt>
                      <c:pt idx="499">
                        <c:v>23.878667468051955</c:v>
                      </c:pt>
                      <c:pt idx="500">
                        <c:v>23.950067547609464</c:v>
                      </c:pt>
                      <c:pt idx="501">
                        <c:v>24.021476026626591</c:v>
                      </c:pt>
                      <c:pt idx="502">
                        <c:v>24.092892391398589</c:v>
                      </c:pt>
                      <c:pt idx="503">
                        <c:v>24.164316128220676</c:v>
                      </c:pt>
                      <c:pt idx="504">
                        <c:v>24.235746723388125</c:v>
                      </c:pt>
                      <c:pt idx="505">
                        <c:v>24.307183663196156</c:v>
                      </c:pt>
                      <c:pt idx="506">
                        <c:v>24.37862643394001</c:v>
                      </c:pt>
                      <c:pt idx="507">
                        <c:v>24.450074521914949</c:v>
                      </c:pt>
                      <c:pt idx="508">
                        <c:v>24.521527413416194</c:v>
                      </c:pt>
                      <c:pt idx="509">
                        <c:v>24.592984594739001</c:v>
                      </c:pt>
                      <c:pt idx="510">
                        <c:v>24.664445552178606</c:v>
                      </c:pt>
                      <c:pt idx="511">
                        <c:v>24.735909772030254</c:v>
                      </c:pt>
                      <c:pt idx="512">
                        <c:v>24.807376740589195</c:v>
                      </c:pt>
                      <c:pt idx="513">
                        <c:v>24.878845944150655</c:v>
                      </c:pt>
                      <c:pt idx="514">
                        <c:v>24.950316869009882</c:v>
                      </c:pt>
                      <c:pt idx="515">
                        <c:v>25.021789001462118</c:v>
                      </c:pt>
                      <c:pt idx="516">
                        <c:v>25.093261827802614</c:v>
                      </c:pt>
                      <c:pt idx="517">
                        <c:v>25.164734834326598</c:v>
                      </c:pt>
                      <c:pt idx="518">
                        <c:v>25.236207507329318</c:v>
                      </c:pt>
                      <c:pt idx="519">
                        <c:v>25.30767933310603</c:v>
                      </c:pt>
                      <c:pt idx="520">
                        <c:v>25.379149797951957</c:v>
                      </c:pt>
                      <c:pt idx="521">
                        <c:v>25.450618388162354</c:v>
                      </c:pt>
                      <c:pt idx="522">
                        <c:v>25.522084590032453</c:v>
                      </c:pt>
                      <c:pt idx="523">
                        <c:v>25.593547889857501</c:v>
                      </c:pt>
                      <c:pt idx="524">
                        <c:v>25.665007773932746</c:v>
                      </c:pt>
                      <c:pt idx="525">
                        <c:v>25.736463728553421</c:v>
                      </c:pt>
                      <c:pt idx="526">
                        <c:v>25.807915240014772</c:v>
                      </c:pt>
                      <c:pt idx="527">
                        <c:v>25.879361794612045</c:v>
                      </c:pt>
                      <c:pt idx="528">
                        <c:v>25.95080287864047</c:v>
                      </c:pt>
                      <c:pt idx="529">
                        <c:v>26.02223797839531</c:v>
                      </c:pt>
                      <c:pt idx="530">
                        <c:v>26.093666580171785</c:v>
                      </c:pt>
                      <c:pt idx="531">
                        <c:v>26.165088170265157</c:v>
                      </c:pt>
                      <c:pt idx="532">
                        <c:v>26.236502234970651</c:v>
                      </c:pt>
                      <c:pt idx="533">
                        <c:v>26.30790826058352</c:v>
                      </c:pt>
                      <c:pt idx="534">
                        <c:v>26.379305733399011</c:v>
                      </c:pt>
                      <c:pt idx="535">
                        <c:v>26.450694139712347</c:v>
                      </c:pt>
                      <c:pt idx="536">
                        <c:v>26.522072965818786</c:v>
                      </c:pt>
                      <c:pt idx="537">
                        <c:v>26.593441698013567</c:v>
                      </c:pt>
                      <c:pt idx="538">
                        <c:v>26.664799822591934</c:v>
                      </c:pt>
                      <c:pt idx="539">
                        <c:v>26.736146825849129</c:v>
                      </c:pt>
                      <c:pt idx="540">
                        <c:v>26.807482194080386</c:v>
                      </c:pt>
                      <c:pt idx="541">
                        <c:v>26.878805413580956</c:v>
                      </c:pt>
                      <c:pt idx="542">
                        <c:v>26.950115970646078</c:v>
                      </c:pt>
                      <c:pt idx="543">
                        <c:v>27.021413351570999</c:v>
                      </c:pt>
                      <c:pt idx="544">
                        <c:v>27.092697042650954</c:v>
                      </c:pt>
                      <c:pt idx="545">
                        <c:v>27.163966530181185</c:v>
                      </c:pt>
                      <c:pt idx="546">
                        <c:v>27.235221300456942</c:v>
                      </c:pt>
                      <c:pt idx="547">
                        <c:v>27.306460839773464</c:v>
                      </c:pt>
                      <c:pt idx="548">
                        <c:v>27.377684634425989</c:v>
                      </c:pt>
                      <c:pt idx="549">
                        <c:v>27.448892170709769</c:v>
                      </c:pt>
                      <c:pt idx="550">
                        <c:v>27.52008293492004</c:v>
                      </c:pt>
                      <c:pt idx="551">
                        <c:v>27.591256413352035</c:v>
                      </c:pt>
                      <c:pt idx="552">
                        <c:v>27.662412092301015</c:v>
                      </c:pt>
                      <c:pt idx="553">
                        <c:v>27.733549458062214</c:v>
                      </c:pt>
                      <c:pt idx="554">
                        <c:v>27.80466799693086</c:v>
                      </c:pt>
                      <c:pt idx="555">
                        <c:v>27.875767195202222</c:v>
                      </c:pt>
                      <c:pt idx="556">
                        <c:v>27.946846539171517</c:v>
                      </c:pt>
                      <c:pt idx="557">
                        <c:v>28.017905515134018</c:v>
                      </c:pt>
                      <c:pt idx="558">
                        <c:v>28.088943609384931</c:v>
                      </c:pt>
                      <c:pt idx="559">
                        <c:v>28.159960308219524</c:v>
                      </c:pt>
                      <c:pt idx="560">
                        <c:v>28.230955097933023</c:v>
                      </c:pt>
                      <c:pt idx="561">
                        <c:v>28.301927464820682</c:v>
                      </c:pt>
                      <c:pt idx="562">
                        <c:v>28.372876895177747</c:v>
                      </c:pt>
                      <c:pt idx="563">
                        <c:v>28.443802875299447</c:v>
                      </c:pt>
                      <c:pt idx="564">
                        <c:v>28.514704891481028</c:v>
                      </c:pt>
                      <c:pt idx="565">
                        <c:v>28.585582430017737</c:v>
                      </c:pt>
                      <c:pt idx="566">
                        <c:v>28.65643497720481</c:v>
                      </c:pt>
                      <c:pt idx="567">
                        <c:v>28.727262019337502</c:v>
                      </c:pt>
                      <c:pt idx="568">
                        <c:v>28.798063042711039</c:v>
                      </c:pt>
                      <c:pt idx="569">
                        <c:v>28.86883753362067</c:v>
                      </c:pt>
                      <c:pt idx="570">
                        <c:v>28.939584978361637</c:v>
                      </c:pt>
                      <c:pt idx="571">
                        <c:v>29.010304863229191</c:v>
                      </c:pt>
                      <c:pt idx="572">
                        <c:v>29.080996674518563</c:v>
                      </c:pt>
                      <c:pt idx="573">
                        <c:v>29.151659898524997</c:v>
                      </c:pt>
                      <c:pt idx="574">
                        <c:v>29.222294021543732</c:v>
                      </c:pt>
                      <c:pt idx="575">
                        <c:v>29.292898529870019</c:v>
                      </c:pt>
                      <c:pt idx="576">
                        <c:v>29.3634729097991</c:v>
                      </c:pt>
                      <c:pt idx="577">
                        <c:v>29.434016647626216</c:v>
                      </c:pt>
                      <c:pt idx="578">
                        <c:v>29.5045292296466</c:v>
                      </c:pt>
                      <c:pt idx="579">
                        <c:v>29.575010142155499</c:v>
                      </c:pt>
                      <c:pt idx="580">
                        <c:v>29.64545887144817</c:v>
                      </c:pt>
                      <c:pt idx="581">
                        <c:v>29.715874903819824</c:v>
                      </c:pt>
                      <c:pt idx="582">
                        <c:v>29.78625772556574</c:v>
                      </c:pt>
                      <c:pt idx="583">
                        <c:v>29.856606822981139</c:v>
                      </c:pt>
                      <c:pt idx="584">
                        <c:v>29.926921682361257</c:v>
                      </c:pt>
                      <c:pt idx="585">
                        <c:v>29.997201790001355</c:v>
                      </c:pt>
                      <c:pt idx="586">
                        <c:v>30.067446632196663</c:v>
                      </c:pt>
                      <c:pt idx="587">
                        <c:v>30.137655695242422</c:v>
                      </c:pt>
                      <c:pt idx="588">
                        <c:v>30.207828465433892</c:v>
                      </c:pt>
                      <c:pt idx="589">
                        <c:v>30.277964429066291</c:v>
                      </c:pt>
                      <c:pt idx="590">
                        <c:v>30.348063072434879</c:v>
                      </c:pt>
                      <c:pt idx="591">
                        <c:v>30.418123881834894</c:v>
                      </c:pt>
                      <c:pt idx="592">
                        <c:v>30.488146343561571</c:v>
                      </c:pt>
                      <c:pt idx="593">
                        <c:v>30.558129943910153</c:v>
                      </c:pt>
                      <c:pt idx="594">
                        <c:v>30.628074169175896</c:v>
                      </c:pt>
                      <c:pt idx="595">
                        <c:v>30.697978505654024</c:v>
                      </c:pt>
                      <c:pt idx="596">
                        <c:v>30.767842439639789</c:v>
                      </c:pt>
                      <c:pt idx="597">
                        <c:v>30.837665457428443</c:v>
                      </c:pt>
                      <c:pt idx="598">
                        <c:v>30.907447045315209</c:v>
                      </c:pt>
                      <c:pt idx="599">
                        <c:v>30.977186689595342</c:v>
                      </c:pt>
                      <c:pt idx="600">
                        <c:v>31.046883876564078</c:v>
                      </c:pt>
                      <c:pt idx="601">
                        <c:v>31.116538092516663</c:v>
                      </c:pt>
                      <c:pt idx="602">
                        <c:v>31.186148823748333</c:v>
                      </c:pt>
                      <c:pt idx="603">
                        <c:v>31.255715556554346</c:v>
                      </c:pt>
                      <c:pt idx="604">
                        <c:v>31.325237777229926</c:v>
                      </c:pt>
                      <c:pt idx="605">
                        <c:v>31.394714972070318</c:v>
                      </c:pt>
                      <c:pt idx="606">
                        <c:v>31.464146627370777</c:v>
                      </c:pt>
                      <c:pt idx="607">
                        <c:v>31.533532229426534</c:v>
                      </c:pt>
                      <c:pt idx="608">
                        <c:v>31.602871264532844</c:v>
                      </c:pt>
                      <c:pt idx="609">
                        <c:v>31.67216321898492</c:v>
                      </c:pt>
                      <c:pt idx="610">
                        <c:v>31.741407579078043</c:v>
                      </c:pt>
                      <c:pt idx="611">
                        <c:v>31.810603831107429</c:v>
                      </c:pt>
                      <c:pt idx="612">
                        <c:v>31.879751461368322</c:v>
                      </c:pt>
                      <c:pt idx="613">
                        <c:v>31.948849956155982</c:v>
                      </c:pt>
                      <c:pt idx="614">
                        <c:v>32.017898801765632</c:v>
                      </c:pt>
                      <c:pt idx="615">
                        <c:v>32.086897484492525</c:v>
                      </c:pt>
                      <c:pt idx="616">
                        <c:v>32.15584549063189</c:v>
                      </c:pt>
                      <c:pt idx="617">
                        <c:v>32.224742306478994</c:v>
                      </c:pt>
                      <c:pt idx="618">
                        <c:v>32.293587418329054</c:v>
                      </c:pt>
                      <c:pt idx="619">
                        <c:v>32.362380312477327</c:v>
                      </c:pt>
                      <c:pt idx="620">
                        <c:v>32.431120475219046</c:v>
                      </c:pt>
                      <c:pt idx="621">
                        <c:v>32.499807392849476</c:v>
                      </c:pt>
                      <c:pt idx="622">
                        <c:v>32.568440551663826</c:v>
                      </c:pt>
                      <c:pt idx="623">
                        <c:v>32.637019437957349</c:v>
                      </c:pt>
                      <c:pt idx="624">
                        <c:v>32.705543538025303</c:v>
                      </c:pt>
                      <c:pt idx="625">
                        <c:v>32.774012338162919</c:v>
                      </c:pt>
                      <c:pt idx="626">
                        <c:v>32.842425324665435</c:v>
                      </c:pt>
                      <c:pt idx="627">
                        <c:v>32.910781983828102</c:v>
                      </c:pt>
                      <c:pt idx="628">
                        <c:v>32.979081801946151</c:v>
                      </c:pt>
                      <c:pt idx="629">
                        <c:v>33.047324265314842</c:v>
                      </c:pt>
                      <c:pt idx="630">
                        <c:v>33.115508860229404</c:v>
                      </c:pt>
                      <c:pt idx="631">
                        <c:v>33.183635072985076</c:v>
                      </c:pt>
                      <c:pt idx="632">
                        <c:v>33.25170238987711</c:v>
                      </c:pt>
                      <c:pt idx="633">
                        <c:v>33.31971029720075</c:v>
                      </c:pt>
                      <c:pt idx="634">
                        <c:v>33.387658281251227</c:v>
                      </c:pt>
                      <c:pt idx="635">
                        <c:v>33.455545828323785</c:v>
                      </c:pt>
                      <c:pt idx="636">
                        <c:v>33.523372424713685</c:v>
                      </c:pt>
                      <c:pt idx="637">
                        <c:v>33.591137556716141</c:v>
                      </c:pt>
                      <c:pt idx="638">
                        <c:v>33.658840710626414</c:v>
                      </c:pt>
                      <c:pt idx="639">
                        <c:v>33.726481372739741</c:v>
                      </c:pt>
                      <c:pt idx="640">
                        <c:v>33.794059029351367</c:v>
                      </c:pt>
                      <c:pt idx="641">
                        <c:v>33.861573166756536</c:v>
                      </c:pt>
                      <c:pt idx="642">
                        <c:v>33.929023271250479</c:v>
                      </c:pt>
                      <c:pt idx="643">
                        <c:v>33.996408829128448</c:v>
                      </c:pt>
                      <c:pt idx="644">
                        <c:v>34.063729326685682</c:v>
                      </c:pt>
                      <c:pt idx="645">
                        <c:v>34.130984250217423</c:v>
                      </c:pt>
                      <c:pt idx="646">
                        <c:v>34.198173086018919</c:v>
                      </c:pt>
                      <c:pt idx="647">
                        <c:v>34.265295320385405</c:v>
                      </c:pt>
                      <c:pt idx="648">
                        <c:v>34.332350439612128</c:v>
                      </c:pt>
                      <c:pt idx="649">
                        <c:v>34.399337929994324</c:v>
                      </c:pt>
                      <c:pt idx="650">
                        <c:v>34.466257277827239</c:v>
                      </c:pt>
                      <c:pt idx="651">
                        <c:v>34.533107969406124</c:v>
                      </c:pt>
                      <c:pt idx="652">
                        <c:v>34.599889491026204</c:v>
                      </c:pt>
                      <c:pt idx="653">
                        <c:v>34.666601328982736</c:v>
                      </c:pt>
                      <c:pt idx="654">
                        <c:v>34.733242969570952</c:v>
                      </c:pt>
                      <c:pt idx="655">
                        <c:v>34.799813899086111</c:v>
                      </c:pt>
                      <c:pt idx="656">
                        <c:v>34.866313603823436</c:v>
                      </c:pt>
                      <c:pt idx="657">
                        <c:v>34.932741570078171</c:v>
                      </c:pt>
                      <c:pt idx="658">
                        <c:v>34.99909728414557</c:v>
                      </c:pt>
                      <c:pt idx="659">
                        <c:v>35.065380232320877</c:v>
                      </c:pt>
                      <c:pt idx="660">
                        <c:v>35.131589900899314</c:v>
                      </c:pt>
                      <c:pt idx="661">
                        <c:v>35.197725776176128</c:v>
                      </c:pt>
                      <c:pt idx="662">
                        <c:v>35.263787344446591</c:v>
                      </c:pt>
                      <c:pt idx="663">
                        <c:v>35.329774092005913</c:v>
                      </c:pt>
                      <c:pt idx="664">
                        <c:v>35.395685505149345</c:v>
                      </c:pt>
                      <c:pt idx="665">
                        <c:v>35.461521070172125</c:v>
                      </c:pt>
                      <c:pt idx="666">
                        <c:v>35.527280273369506</c:v>
                      </c:pt>
                      <c:pt idx="667">
                        <c:v>35.592962601036731</c:v>
                      </c:pt>
                      <c:pt idx="668">
                        <c:v>35.658567539469033</c:v>
                      </c:pt>
                      <c:pt idx="669">
                        <c:v>35.724094574961661</c:v>
                      </c:pt>
                      <c:pt idx="670">
                        <c:v>35.789543193809848</c:v>
                      </c:pt>
                      <c:pt idx="671">
                        <c:v>35.854912882308852</c:v>
                      </c:pt>
                      <c:pt idx="672">
                        <c:v>35.920203126753897</c:v>
                      </c:pt>
                      <c:pt idx="673">
                        <c:v>35.985413413440241</c:v>
                      </c:pt>
                      <c:pt idx="674">
                        <c:v>36.050543228663116</c:v>
                      </c:pt>
                      <c:pt idx="675">
                        <c:v>36.115592058717766</c:v>
                      </c:pt>
                      <c:pt idx="676">
                        <c:v>36.180559389899443</c:v>
                      </c:pt>
                      <c:pt idx="677">
                        <c:v>36.245444708503371</c:v>
                      </c:pt>
                      <c:pt idx="678">
                        <c:v>36.310247500824801</c:v>
                      </c:pt>
                      <c:pt idx="679">
                        <c:v>36.374967253158985</c:v>
                      </c:pt>
                      <c:pt idx="680">
                        <c:v>36.439603451801155</c:v>
                      </c:pt>
                      <c:pt idx="681">
                        <c:v>36.504155583046554</c:v>
                      </c:pt>
                      <c:pt idx="682">
                        <c:v>36.568623133190428</c:v>
                      </c:pt>
                      <c:pt idx="683">
                        <c:v>36.633005588528015</c:v>
                      </c:pt>
                      <c:pt idx="684">
                        <c:v>36.697302435354558</c:v>
                      </c:pt>
                      <c:pt idx="685">
                        <c:v>36.761513159965304</c:v>
                      </c:pt>
                      <c:pt idx="686">
                        <c:v>36.825637248655497</c:v>
                      </c:pt>
                      <c:pt idx="687">
                        <c:v>36.88967418772036</c:v>
                      </c:pt>
                      <c:pt idx="688">
                        <c:v>36.953623463455159</c:v>
                      </c:pt>
                      <c:pt idx="689">
                        <c:v>37.017484562155126</c:v>
                      </c:pt>
                      <c:pt idx="690">
                        <c:v>37.081256970115504</c:v>
                      </c:pt>
                      <c:pt idx="691">
                        <c:v>37.144940173631539</c:v>
                      </c:pt>
                      <c:pt idx="692">
                        <c:v>37.208533658998462</c:v>
                      </c:pt>
                      <c:pt idx="693">
                        <c:v>37.272036912511531</c:v>
                      </c:pt>
                      <c:pt idx="694">
                        <c:v>37.33544942046597</c:v>
                      </c:pt>
                      <c:pt idx="695">
                        <c:v>37.398770669157038</c:v>
                      </c:pt>
                      <c:pt idx="696">
                        <c:v>37.462000144879966</c:v>
                      </c:pt>
                      <c:pt idx="697">
                        <c:v>37.525137333930005</c:v>
                      </c:pt>
                      <c:pt idx="698">
                        <c:v>37.5881817226024</c:v>
                      </c:pt>
                      <c:pt idx="699">
                        <c:v>37.651132797192382</c:v>
                      </c:pt>
                      <c:pt idx="700">
                        <c:v>37.713990043995196</c:v>
                      </c:pt>
                      <c:pt idx="701">
                        <c:v>37.776752949306079</c:v>
                      </c:pt>
                      <c:pt idx="702">
                        <c:v>37.839420999420291</c:v>
                      </c:pt>
                      <c:pt idx="703">
                        <c:v>37.901993680633055</c:v>
                      </c:pt>
                      <c:pt idx="704">
                        <c:v>37.96447047923963</c:v>
                      </c:pt>
                      <c:pt idx="705">
                        <c:v>38.026850881535246</c:v>
                      </c:pt>
                      <c:pt idx="706">
                        <c:v>38.089134373815149</c:v>
                      </c:pt>
                      <c:pt idx="707">
                        <c:v>38.151320442374583</c:v>
                      </c:pt>
                      <c:pt idx="708">
                        <c:v>38.213408573508787</c:v>
                      </c:pt>
                      <c:pt idx="709">
                        <c:v>38.275398253513004</c:v>
                      </c:pt>
                      <c:pt idx="710">
                        <c:v>38.337288968682486</c:v>
                      </c:pt>
                      <c:pt idx="711">
                        <c:v>38.399080205312472</c:v>
                      </c:pt>
                      <c:pt idx="712">
                        <c:v>38.460771449698186</c:v>
                      </c:pt>
                      <c:pt idx="713">
                        <c:v>38.522362188134892</c:v>
                      </c:pt>
                      <c:pt idx="714">
                        <c:v>38.583851906917815</c:v>
                      </c:pt>
                      <c:pt idx="715">
                        <c:v>38.645240092342206</c:v>
                      </c:pt>
                      <c:pt idx="716">
                        <c:v>38.706526230703318</c:v>
                      </c:pt>
                      <c:pt idx="717">
                        <c:v>38.767709808296381</c:v>
                      </c:pt>
                      <c:pt idx="718">
                        <c:v>38.828790311416633</c:v>
                      </c:pt>
                      <c:pt idx="719">
                        <c:v>38.889767226359325</c:v>
                      </c:pt>
                      <c:pt idx="720">
                        <c:v>38.950640039419696</c:v>
                      </c:pt>
                      <c:pt idx="721">
                        <c:v>39.01140823689299</c:v>
                      </c:pt>
                      <c:pt idx="722">
                        <c:v>39.072071305074445</c:v>
                      </c:pt>
                      <c:pt idx="723">
                        <c:v>39.132628730259313</c:v>
                      </c:pt>
                      <c:pt idx="724">
                        <c:v>39.193079998742817</c:v>
                      </c:pt>
                      <c:pt idx="725">
                        <c:v>39.253424596820224</c:v>
                      </c:pt>
                      <c:pt idx="726">
                        <c:v>39.313662010786757</c:v>
                      </c:pt>
                      <c:pt idx="727">
                        <c:v>39.373791726937668</c:v>
                      </c:pt>
                      <c:pt idx="728">
                        <c:v>39.433813231568209</c:v>
                      </c:pt>
                      <c:pt idx="729">
                        <c:v>39.493726010973589</c:v>
                      </c:pt>
                      <c:pt idx="730">
                        <c:v>39.553529551449088</c:v>
                      </c:pt>
                      <c:pt idx="731">
                        <c:v>39.613223339289917</c:v>
                      </c:pt>
                      <c:pt idx="732">
                        <c:v>39.672806860791347</c:v>
                      </c:pt>
                      <c:pt idx="733">
                        <c:v>39.732279602248596</c:v>
                      </c:pt>
                      <c:pt idx="734">
                        <c:v>39.791641049956922</c:v>
                      </c:pt>
                      <c:pt idx="735">
                        <c:v>39.850890690211571</c:v>
                      </c:pt>
                      <c:pt idx="736">
                        <c:v>39.910028009307766</c:v>
                      </c:pt>
                      <c:pt idx="737">
                        <c:v>39.969052493540751</c:v>
                      </c:pt>
                      <c:pt idx="738">
                        <c:v>40.027963629205786</c:v>
                      </c:pt>
                      <c:pt idx="739">
                        <c:v>40.086760902598108</c:v>
                      </c:pt>
                      <c:pt idx="740">
                        <c:v>40.145443800012956</c:v>
                      </c:pt>
                      <c:pt idx="741">
                        <c:v>40.204011807745559</c:v>
                      </c:pt>
                      <c:pt idx="742">
                        <c:v>40.262464412091177</c:v>
                      </c:pt>
                      <c:pt idx="743">
                        <c:v>40.320801099345047</c:v>
                      </c:pt>
                      <c:pt idx="744">
                        <c:v>40.379021355802422</c:v>
                      </c:pt>
                      <c:pt idx="745">
                        <c:v>40.437124667758511</c:v>
                      </c:pt>
                      <c:pt idx="746">
                        <c:v>40.495110521508607</c:v>
                      </c:pt>
                      <c:pt idx="747">
                        <c:v>40.552978403347915</c:v>
                      </c:pt>
                      <c:pt idx="748">
                        <c:v>40.610727799571677</c:v>
                      </c:pt>
                      <c:pt idx="749">
                        <c:v>40.668358196475154</c:v>
                      </c:pt>
                      <c:pt idx="750">
                        <c:v>40.725869080353576</c:v>
                      </c:pt>
                      <c:pt idx="751">
                        <c:v>40.78325993750218</c:v>
                      </c:pt>
                      <c:pt idx="752">
                        <c:v>40.840530254216219</c:v>
                      </c:pt>
                      <c:pt idx="753">
                        <c:v>40.897679516790959</c:v>
                      </c:pt>
                      <c:pt idx="754">
                        <c:v>40.95470721152158</c:v>
                      </c:pt>
                      <c:pt idx="755">
                        <c:v>41.011612824703391</c:v>
                      </c:pt>
                      <c:pt idx="756">
                        <c:v>41.068395842631574</c:v>
                      </c:pt>
                      <c:pt idx="757">
                        <c:v>41.125055751601423</c:v>
                      </c:pt>
                      <c:pt idx="758">
                        <c:v>41.181592037908153</c:v>
                      </c:pt>
                      <c:pt idx="759">
                        <c:v>41.238004187847011</c:v>
                      </c:pt>
                      <c:pt idx="760">
                        <c:v>41.29429168771324</c:v>
                      </c:pt>
                      <c:pt idx="761">
                        <c:v>41.350454023802087</c:v>
                      </c:pt>
                      <c:pt idx="762">
                        <c:v>41.406490682408773</c:v>
                      </c:pt>
                      <c:pt idx="763">
                        <c:v>41.462401149828565</c:v>
                      </c:pt>
                      <c:pt idx="764">
                        <c:v>41.518184912356716</c:v>
                      </c:pt>
                      <c:pt idx="765">
                        <c:v>41.573841456288434</c:v>
                      </c:pt>
                      <c:pt idx="766">
                        <c:v>41.629370267918972</c:v>
                      </c:pt>
                      <c:pt idx="767">
                        <c:v>41.684770833543581</c:v>
                      </c:pt>
                      <c:pt idx="768">
                        <c:v>41.740042639457499</c:v>
                      </c:pt>
                      <c:pt idx="769">
                        <c:v>41.795185171955971</c:v>
                      </c:pt>
                      <c:pt idx="770">
                        <c:v>41.850197917334235</c:v>
                      </c:pt>
                      <c:pt idx="771">
                        <c:v>41.905080361887528</c:v>
                      </c:pt>
                      <c:pt idx="772">
                        <c:v>41.959831991911109</c:v>
                      </c:pt>
                      <c:pt idx="773">
                        <c:v>42.014452293700217</c:v>
                      </c:pt>
                      <c:pt idx="774">
                        <c:v>42.068940753550081</c:v>
                      </c:pt>
                      <c:pt idx="775">
                        <c:v>42.123296857755939</c:v>
                      </c:pt>
                      <c:pt idx="776">
                        <c:v>42.177520092613065</c:v>
                      </c:pt>
                      <c:pt idx="777">
                        <c:v>42.231609944416661</c:v>
                      </c:pt>
                      <c:pt idx="778">
                        <c:v>42.285565899462007</c:v>
                      </c:pt>
                      <c:pt idx="779">
                        <c:v>42.339387444044313</c:v>
                      </c:pt>
                      <c:pt idx="780">
                        <c:v>42.393074064458851</c:v>
                      </c:pt>
                      <c:pt idx="781">
                        <c:v>42.446625247000831</c:v>
                      </c:pt>
                      <c:pt idx="782">
                        <c:v>42.500040477965527</c:v>
                      </c:pt>
                      <c:pt idx="783">
                        <c:v>42.553319243648154</c:v>
                      </c:pt>
                      <c:pt idx="784">
                        <c:v>42.606461030343965</c:v>
                      </c:pt>
                      <c:pt idx="785">
                        <c:v>42.659465324348218</c:v>
                      </c:pt>
                      <c:pt idx="786">
                        <c:v>42.712331611956131</c:v>
                      </c:pt>
                      <c:pt idx="787">
                        <c:v>42.765059379462969</c:v>
                      </c:pt>
                      <c:pt idx="788">
                        <c:v>42.817648113163948</c:v>
                      </c:pt>
                      <c:pt idx="789">
                        <c:v>42.870097299354327</c:v>
                      </c:pt>
                      <c:pt idx="790">
                        <c:v>42.92240642432936</c:v>
                      </c:pt>
                      <c:pt idx="791">
                        <c:v>42.974574974384254</c:v>
                      </c:pt>
                      <c:pt idx="792">
                        <c:v>43.026602435814283</c:v>
                      </c:pt>
                      <c:pt idx="793">
                        <c:v>43.078488294914678</c:v>
                      </c:pt>
                      <c:pt idx="794">
                        <c:v>43.13023203798069</c:v>
                      </c:pt>
                      <c:pt idx="795">
                        <c:v>43.181833151307536</c:v>
                      </c:pt>
                      <c:pt idx="796">
                        <c:v>43.233291121190483</c:v>
                      </c:pt>
                      <c:pt idx="797">
                        <c:v>43.28460543392476</c:v>
                      </c:pt>
                      <c:pt idx="798">
                        <c:v>43.335775575805627</c:v>
                      </c:pt>
                      <c:pt idx="799">
                        <c:v>43.386801033128307</c:v>
                      </c:pt>
                      <c:pt idx="800">
                        <c:v>43.437681292188053</c:v>
                      </c:pt>
                      <c:pt idx="801">
                        <c:v>43.488415839280101</c:v>
                      </c:pt>
                      <c:pt idx="802">
                        <c:v>43.539004160699697</c:v>
                      </c:pt>
                      <c:pt idx="803">
                        <c:v>43.589445742742072</c:v>
                      </c:pt>
                      <c:pt idx="804">
                        <c:v>43.639740071702491</c:v>
                      </c:pt>
                      <c:pt idx="805">
                        <c:v>43.689886633876171</c:v>
                      </c:pt>
                      <c:pt idx="806">
                        <c:v>43.739884915558392</c:v>
                      </c:pt>
                      <c:pt idx="807">
                        <c:v>43.789734403044342</c:v>
                      </c:pt>
                      <c:pt idx="808">
                        <c:v>43.839434582629316</c:v>
                      </c:pt>
                      <c:pt idx="809">
                        <c:v>43.888984940608516</c:v>
                      </c:pt>
                      <c:pt idx="810">
                        <c:v>43.938384963277215</c:v>
                      </c:pt>
                      <c:pt idx="811">
                        <c:v>43.98763413693063</c:v>
                      </c:pt>
                      <c:pt idx="812">
                        <c:v>44.036731947864027</c:v>
                      </c:pt>
                      <c:pt idx="813">
                        <c:v>44.085677882372629</c:v>
                      </c:pt>
                      <c:pt idx="814">
                        <c:v>44.134471426751681</c:v>
                      </c:pt>
                      <c:pt idx="815">
                        <c:v>44.183112067296427</c:v>
                      </c:pt>
                      <c:pt idx="816">
                        <c:v>44.231599290302128</c:v>
                      </c:pt>
                      <c:pt idx="817">
                        <c:v>44.279932582063999</c:v>
                      </c:pt>
                      <c:pt idx="818">
                        <c:v>44.3281114288773</c:v>
                      </c:pt>
                      <c:pt idx="819">
                        <c:v>44.376135317037267</c:v>
                      </c:pt>
                      <c:pt idx="820">
                        <c:v>44.424003732839125</c:v>
                      </c:pt>
                      <c:pt idx="821">
                        <c:v>44.471716162578154</c:v>
                      </c:pt>
                      <c:pt idx="822">
                        <c:v>44.519272092549571</c:v>
                      </c:pt>
                      <c:pt idx="823">
                        <c:v>44.566671009048619</c:v>
                      </c:pt>
                      <c:pt idx="824">
                        <c:v>44.613912398370545</c:v>
                      </c:pt>
                      <c:pt idx="825">
                        <c:v>44.660995746810592</c:v>
                      </c:pt>
                      <c:pt idx="826">
                        <c:v>44.707920540663991</c:v>
                      </c:pt>
                      <c:pt idx="827">
                        <c:v>44.754686266226003</c:v>
                      </c:pt>
                      <c:pt idx="828">
                        <c:v>44.80129240979187</c:v>
                      </c:pt>
                      <c:pt idx="829">
                        <c:v>44.84773845765681</c:v>
                      </c:pt>
                      <c:pt idx="830">
                        <c:v>44.894023896116089</c:v>
                      </c:pt>
                      <c:pt idx="831">
                        <c:v>44.940148211464944</c:v>
                      </c:pt>
                      <c:pt idx="832">
                        <c:v>44.986110889998606</c:v>
                      </c:pt>
                      <c:pt idx="833">
                        <c:v>45.031911418012342</c:v>
                      </c:pt>
                      <c:pt idx="834">
                        <c:v>45.077549281801367</c:v>
                      </c:pt>
                      <c:pt idx="835">
                        <c:v>45.123023967660927</c:v>
                      </c:pt>
                      <c:pt idx="836">
                        <c:v>45.168334961886281</c:v>
                      </c:pt>
                      <c:pt idx="837">
                        <c:v>45.213481750772658</c:v>
                      </c:pt>
                      <c:pt idx="838">
                        <c:v>45.258463820615304</c:v>
                      </c:pt>
                      <c:pt idx="839">
                        <c:v>45.303280657709458</c:v>
                      </c:pt>
                      <c:pt idx="840">
                        <c:v>45.347931748350376</c:v>
                      </c:pt>
                      <c:pt idx="841">
                        <c:v>45.392416578833284</c:v>
                      </c:pt>
                      <c:pt idx="842">
                        <c:v>45.436734635453433</c:v>
                      </c:pt>
                      <c:pt idx="843">
                        <c:v>45.480885404506061</c:v>
                      </c:pt>
                      <c:pt idx="844">
                        <c:v>45.52486837228642</c:v>
                      </c:pt>
                      <c:pt idx="845">
                        <c:v>45.568683025089733</c:v>
                      </c:pt>
                      <c:pt idx="846">
                        <c:v>45.612328849211252</c:v>
                      </c:pt>
                      <c:pt idx="847">
                        <c:v>45.65580533094623</c:v>
                      </c:pt>
                      <c:pt idx="848">
                        <c:v>45.699111956589896</c:v>
                      </c:pt>
                      <c:pt idx="849">
                        <c:v>45.742248212437502</c:v>
                      </c:pt>
                      <c:pt idx="850">
                        <c:v>45.78521358478428</c:v>
                      </c:pt>
                      <c:pt idx="851">
                        <c:v>45.828007559925467</c:v>
                      </c:pt>
                      <c:pt idx="852">
                        <c:v>45.870629624156322</c:v>
                      </c:pt>
                      <c:pt idx="853">
                        <c:v>45.91307926377209</c:v>
                      </c:pt>
                      <c:pt idx="854">
                        <c:v>45.955355965067987</c:v>
                      </c:pt>
                      <c:pt idx="855">
                        <c:v>45.997459214339294</c:v>
                      </c:pt>
                      <c:pt idx="856">
                        <c:v>46.03938849788122</c:v>
                      </c:pt>
                      <c:pt idx="857">
                        <c:v>46.081143301989016</c:v>
                      </c:pt>
                      <c:pt idx="858">
                        <c:v>46.122723112957928</c:v>
                      </c:pt>
                      <c:pt idx="859">
                        <c:v>46.164127417083193</c:v>
                      </c:pt>
                      <c:pt idx="860">
                        <c:v>46.205355700660071</c:v>
                      </c:pt>
                      <c:pt idx="861">
                        <c:v>46.246407449983778</c:v>
                      </c:pt>
                      <c:pt idx="862">
                        <c:v>46.287282151349572</c:v>
                      </c:pt>
                      <c:pt idx="863">
                        <c:v>46.327979291052685</c:v>
                      </c:pt>
                      <c:pt idx="864">
                        <c:v>46.368498355388382</c:v>
                      </c:pt>
                      <c:pt idx="865">
                        <c:v>46.408838830651888</c:v>
                      </c:pt>
                      <c:pt idx="866">
                        <c:v>46.449000203138446</c:v>
                      </c:pt>
                      <c:pt idx="867">
                        <c:v>46.488981959143295</c:v>
                      </c:pt>
                      <c:pt idx="868">
                        <c:v>46.52878358496168</c:v>
                      </c:pt>
                      <c:pt idx="869">
                        <c:v>46.568404566888859</c:v>
                      </c:pt>
                      <c:pt idx="870">
                        <c:v>46.607844391220034</c:v>
                      </c:pt>
                      <c:pt idx="871">
                        <c:v>46.647102544250494</c:v>
                      </c:pt>
                      <c:pt idx="872">
                        <c:v>46.686178512275454</c:v>
                      </c:pt>
                      <c:pt idx="873">
                        <c:v>46.725071781590174</c:v>
                      </c:pt>
                      <c:pt idx="874">
                        <c:v>46.763781838489876</c:v>
                      </c:pt>
                      <c:pt idx="875">
                        <c:v>46.8023081692698</c:v>
                      </c:pt>
                      <c:pt idx="876">
                        <c:v>46.840650260225217</c:v>
                      </c:pt>
                      <c:pt idx="877">
                        <c:v>46.878807597651353</c:v>
                      </c:pt>
                      <c:pt idx="878">
                        <c:v>46.916779667843443</c:v>
                      </c:pt>
                      <c:pt idx="879">
                        <c:v>46.954565957096733</c:v>
                      </c:pt>
                      <c:pt idx="880">
                        <c:v>46.992165951706482</c:v>
                      </c:pt>
                      <c:pt idx="881">
                        <c:v>47.029579137967914</c:v>
                      </c:pt>
                      <c:pt idx="882">
                        <c:v>47.066805002176267</c:v>
                      </c:pt>
                      <c:pt idx="883">
                        <c:v>47.103843030626791</c:v>
                      </c:pt>
                      <c:pt idx="884">
                        <c:v>47.14069270961474</c:v>
                      </c:pt>
                      <c:pt idx="885">
                        <c:v>47.177353525435343</c:v>
                      </c:pt>
                      <c:pt idx="886">
                        <c:v>47.213824964383846</c:v>
                      </c:pt>
                      <c:pt idx="887">
                        <c:v>47.25010651275548</c:v>
                      </c:pt>
                      <c:pt idx="888">
                        <c:v>47.286197656845509</c:v>
                      </c:pt>
                      <c:pt idx="889">
                        <c:v>47.322097882949151</c:v>
                      </c:pt>
                      <c:pt idx="890">
                        <c:v>47.35780667736168</c:v>
                      </c:pt>
                      <c:pt idx="891">
                        <c:v>47.393323526378296</c:v>
                      </c:pt>
                      <c:pt idx="892">
                        <c:v>47.428647916294288</c:v>
                      </c:pt>
                      <c:pt idx="893">
                        <c:v>47.463779333404851</c:v>
                      </c:pt>
                      <c:pt idx="894">
                        <c:v>47.498717264005272</c:v>
                      </c:pt>
                      <c:pt idx="895">
                        <c:v>47.533461194390767</c:v>
                      </c:pt>
                      <c:pt idx="896">
                        <c:v>47.568010610856575</c:v>
                      </c:pt>
                      <c:pt idx="897">
                        <c:v>47.602364999697961</c:v>
                      </c:pt>
                      <c:pt idx="898">
                        <c:v>47.636523847210142</c:v>
                      </c:pt>
                      <c:pt idx="899">
                        <c:v>47.670486639688377</c:v>
                      </c:pt>
                      <c:pt idx="900">
                        <c:v>47.704252863427911</c:v>
                      </c:pt>
                      <c:pt idx="901">
                        <c:v>47.737822004723959</c:v>
                      </c:pt>
                      <c:pt idx="902">
                        <c:v>47.771193549871796</c:v>
                      </c:pt>
                      <c:pt idx="903">
                        <c:v>47.804366985166652</c:v>
                      </c:pt>
                      <c:pt idx="904">
                        <c:v>47.837341796903758</c:v>
                      </c:pt>
                      <c:pt idx="905">
                        <c:v>47.870117471378364</c:v>
                      </c:pt>
                      <c:pt idx="906">
                        <c:v>47.902693494885732</c:v>
                      </c:pt>
                      <c:pt idx="907">
                        <c:v>47.935069353721076</c:v>
                      </c:pt>
                      <c:pt idx="908">
                        <c:v>47.967244534179656</c:v>
                      </c:pt>
                      <c:pt idx="909">
                        <c:v>47.999218522556696</c:v>
                      </c:pt>
                      <c:pt idx="910">
                        <c:v>48.030990805147454</c:v>
                      </c:pt>
                      <c:pt idx="911">
                        <c:v>48.062560868247175</c:v>
                      </c:pt>
                      <c:pt idx="912">
                        <c:v>48.09392819815109</c:v>
                      </c:pt>
                      <c:pt idx="913">
                        <c:v>48.125092281154437</c:v>
                      </c:pt>
                      <c:pt idx="914">
                        <c:v>48.156052603552475</c:v>
                      </c:pt>
                      <c:pt idx="915">
                        <c:v>48.18680865164044</c:v>
                      </c:pt>
                      <c:pt idx="916">
                        <c:v>48.217359911713572</c:v>
                      </c:pt>
                      <c:pt idx="917">
                        <c:v>48.247705870067115</c:v>
                      </c:pt>
                      <c:pt idx="918">
                        <c:v>48.277846012996307</c:v>
                      </c:pt>
                      <c:pt idx="919">
                        <c:v>48.307779826796398</c:v>
                      </c:pt>
                      <c:pt idx="920">
                        <c:v>48.337506797762614</c:v>
                      </c:pt>
                      <c:pt idx="921">
                        <c:v>48.367026412190221</c:v>
                      </c:pt>
                      <c:pt idx="922">
                        <c:v>48.396338156374448</c:v>
                      </c:pt>
                      <c:pt idx="923">
                        <c:v>48.425441516610526</c:v>
                      </c:pt>
                      <c:pt idx="924">
                        <c:v>48.454335979193722</c:v>
                      </c:pt>
                      <c:pt idx="925">
                        <c:v>48.483021030419266</c:v>
                      </c:pt>
                      <c:pt idx="926">
                        <c:v>48.511496156582389</c:v>
                      </c:pt>
                      <c:pt idx="927">
                        <c:v>48.539760843978364</c:v>
                      </c:pt>
                      <c:pt idx="928">
                        <c:v>48.5678145789024</c:v>
                      </c:pt>
                      <c:pt idx="929">
                        <c:v>48.595656847649749</c:v>
                      </c:pt>
                      <c:pt idx="930">
                        <c:v>48.623287136515671</c:v>
                      </c:pt>
                      <c:pt idx="931">
                        <c:v>48.650704931795389</c:v>
                      </c:pt>
                      <c:pt idx="932">
                        <c:v>48.677909719784139</c:v>
                      </c:pt>
                      <c:pt idx="933">
                        <c:v>48.70490098677719</c:v>
                      </c:pt>
                      <c:pt idx="934">
                        <c:v>48.731678219069771</c:v>
                      </c:pt>
                      <c:pt idx="935">
                        <c:v>48.758240902957127</c:v>
                      </c:pt>
                      <c:pt idx="936">
                        <c:v>48.784588524734481</c:v>
                      </c:pt>
                      <c:pt idx="937">
                        <c:v>48.8107205706971</c:v>
                      </c:pt>
                      <c:pt idx="938">
                        <c:v>48.836636527140215</c:v>
                      </c:pt>
                      <c:pt idx="939">
                        <c:v>48.862335880359069</c:v>
                      </c:pt>
                      <c:pt idx="940">
                        <c:v>48.887818116648909</c:v>
                      </c:pt>
                      <c:pt idx="941">
                        <c:v>48.913082722304964</c:v>
                      </c:pt>
                      <c:pt idx="942">
                        <c:v>48.938129183622486</c:v>
                      </c:pt>
                      <c:pt idx="943">
                        <c:v>48.962956986896728</c:v>
                      </c:pt>
                      <c:pt idx="944">
                        <c:v>48.98756561842292</c:v>
                      </c:pt>
                      <c:pt idx="945">
                        <c:v>49.0119545644963</c:v>
                      </c:pt>
                      <c:pt idx="946">
                        <c:v>49.036123311412119</c:v>
                      </c:pt>
                      <c:pt idx="947">
                        <c:v>49.060071345465616</c:v>
                      </c:pt>
                      <c:pt idx="948">
                        <c:v>49.083798152952028</c:v>
                      </c:pt>
                      <c:pt idx="949">
                        <c:v>49.107303220166614</c:v>
                      </c:pt>
                      <c:pt idx="950">
                        <c:v>49.130586033404597</c:v>
                      </c:pt>
                      <c:pt idx="951">
                        <c:v>49.153646078961224</c:v>
                      </c:pt>
                      <c:pt idx="952">
                        <c:v>49.176482843131758</c:v>
                      </c:pt>
                      <c:pt idx="953">
                        <c:v>49.199095812211411</c:v>
                      </c:pt>
                      <c:pt idx="954">
                        <c:v>49.221484472495433</c:v>
                      </c:pt>
                      <c:pt idx="955">
                        <c:v>49.243648310279085</c:v>
                      </c:pt>
                      <c:pt idx="956">
                        <c:v>49.265586811857588</c:v>
                      </c:pt>
                      <c:pt idx="957">
                        <c:v>49.287299463526196</c:v>
                      </c:pt>
                      <c:pt idx="958">
                        <c:v>49.308785751580146</c:v>
                      </c:pt>
                      <c:pt idx="959">
                        <c:v>49.330045162314676</c:v>
                      </c:pt>
                      <c:pt idx="960">
                        <c:v>49.351077182025037</c:v>
                      </c:pt>
                      <c:pt idx="961">
                        <c:v>49.371881297006482</c:v>
                      </c:pt>
                      <c:pt idx="962">
                        <c:v>49.392456993554219</c:v>
                      </c:pt>
                      <c:pt idx="963">
                        <c:v>49.412803757963516</c:v>
                      </c:pt>
                      <c:pt idx="964">
                        <c:v>49.432921076529624</c:v>
                      </c:pt>
                      <c:pt idx="965">
                        <c:v>49.452808435547759</c:v>
                      </c:pt>
                      <c:pt idx="966">
                        <c:v>49.47246532131318</c:v>
                      </c:pt>
                      <c:pt idx="967">
                        <c:v>49.491891220121119</c:v>
                      </c:pt>
                      <c:pt idx="968">
                        <c:v>49.511085618266826</c:v>
                      </c:pt>
                      <c:pt idx="969">
                        <c:v>49.530048002045547</c:v>
                      </c:pt>
                      <c:pt idx="970">
                        <c:v>49.548777857752512</c:v>
                      </c:pt>
                      <c:pt idx="971">
                        <c:v>49.567274671682981</c:v>
                      </c:pt>
                      <c:pt idx="972">
                        <c:v>49.585537930132176</c:v>
                      </c:pt>
                      <c:pt idx="973">
                        <c:v>49.603567119395358</c:v>
                      </c:pt>
                      <c:pt idx="974">
                        <c:v>49.621361725767756</c:v>
                      </c:pt>
                      <c:pt idx="975">
                        <c:v>49.638921235544615</c:v>
                      </c:pt>
                      <c:pt idx="976">
                        <c:v>49.656245135021166</c:v>
                      </c:pt>
                      <c:pt idx="977">
                        <c:v>49.673332910492682</c:v>
                      </c:pt>
                      <c:pt idx="978">
                        <c:v>49.69018404825438</c:v>
                      </c:pt>
                      <c:pt idx="979">
                        <c:v>49.706798034601512</c:v>
                      </c:pt>
                      <c:pt idx="980">
                        <c:v>49.723174355829315</c:v>
                      </c:pt>
                      <c:pt idx="981">
                        <c:v>49.739312498233033</c:v>
                      </c:pt>
                      <c:pt idx="982">
                        <c:v>49.75521194810792</c:v>
                      </c:pt>
                      <c:pt idx="983">
                        <c:v>49.770872191749191</c:v>
                      </c:pt>
                      <c:pt idx="984">
                        <c:v>49.78629271545212</c:v>
                      </c:pt>
                      <c:pt idx="985">
                        <c:v>49.801473005511923</c:v>
                      </c:pt>
                      <c:pt idx="986">
                        <c:v>49.816412548223859</c:v>
                      </c:pt>
                      <c:pt idx="987">
                        <c:v>49.831110829883166</c:v>
                      </c:pt>
                      <c:pt idx="988">
                        <c:v>49.845567336785081</c:v>
                      </c:pt>
                      <c:pt idx="989">
                        <c:v>49.859781555224849</c:v>
                      </c:pt>
                      <c:pt idx="990">
                        <c:v>49.873752971497716</c:v>
                      </c:pt>
                      <c:pt idx="991">
                        <c:v>49.887481071898925</c:v>
                      </c:pt>
                      <c:pt idx="992">
                        <c:v>49.900965342723708</c:v>
                      </c:pt>
                      <c:pt idx="993">
                        <c:v>49.914205270267324</c:v>
                      </c:pt>
                      <c:pt idx="994">
                        <c:v>49.927200340825003</c:v>
                      </c:pt>
                      <c:pt idx="995">
                        <c:v>49.939950040691983</c:v>
                      </c:pt>
                      <c:pt idx="996">
                        <c:v>49.952453856163515</c:v>
                      </c:pt>
                      <c:pt idx="997">
                        <c:v>49.964711273534846</c:v>
                      </c:pt>
                      <c:pt idx="998">
                        <c:v>49.976721779101211</c:v>
                      </c:pt>
                      <c:pt idx="999">
                        <c:v>49.98848485915785</c:v>
                      </c:pt>
                      <c:pt idx="1000">
                        <c:v>50.000000000000007</c:v>
                      </c:pt>
                    </c:numCache>
                  </c:numRef>
                </c:xVal>
                <c:yVal>
                  <c:numRef>
                    <c:extLst>
                      <c:ext uri="{02D57815-91ED-43cb-92C2-25804820EDAC}">
                        <c15:formulaRef>
                          <c15:sqref>Sheet1!$J$8:$J$1058</c15:sqref>
                        </c15:formulaRef>
                      </c:ext>
                    </c:extLst>
                    <c:numCache>
                      <c:formatCode>General</c:formatCode>
                      <c:ptCount val="1051"/>
                      <c:pt idx="0">
                        <c:v>0</c:v>
                      </c:pt>
                      <c:pt idx="1">
                        <c:v>2.351102099344484E-4</c:v>
                      </c:pt>
                      <c:pt idx="2">
                        <c:v>4.9014222936935635E-4</c:v>
                      </c:pt>
                      <c:pt idx="3">
                        <c:v>7.6505568366474911E-4</c:v>
                      </c:pt>
                      <c:pt idx="4">
                        <c:v>1.059810198180652E-3</c:v>
                      </c:pt>
                      <c:pt idx="5">
                        <c:v>1.3743653982770899E-3</c:v>
                      </c:pt>
                      <c:pt idx="6">
                        <c:v>1.7086809093140882E-3</c:v>
                      </c:pt>
                      <c:pt idx="7">
                        <c:v>2.0627163566516722E-3</c:v>
                      </c:pt>
                      <c:pt idx="8">
                        <c:v>2.436431365649866E-3</c:v>
                      </c:pt>
                      <c:pt idx="9">
                        <c:v>2.8297855616686973E-3</c:v>
                      </c:pt>
                      <c:pt idx="10">
                        <c:v>3.2427385700681891E-3</c:v>
                      </c:pt>
                      <c:pt idx="11">
                        <c:v>3.6752500162083677E-3</c:v>
                      </c:pt>
                      <c:pt idx="12">
                        <c:v>4.1272795254492572E-3</c:v>
                      </c:pt>
                      <c:pt idx="13">
                        <c:v>4.5987867231508835E-3</c:v>
                      </c:pt>
                      <c:pt idx="14">
                        <c:v>5.0897312346732714E-3</c:v>
                      </c:pt>
                      <c:pt idx="15">
                        <c:v>5.6000726853764476E-3</c:v>
                      </c:pt>
                      <c:pt idx="16">
                        <c:v>6.1297707006204355E-3</c:v>
                      </c:pt>
                      <c:pt idx="17">
                        <c:v>6.6787849057652606E-3</c:v>
                      </c:pt>
                      <c:pt idx="18">
                        <c:v>7.247074926170949E-3</c:v>
                      </c:pt>
                      <c:pt idx="19">
                        <c:v>7.8346003871975246E-3</c:v>
                      </c:pt>
                      <c:pt idx="20">
                        <c:v>8.4413209142050125E-3</c:v>
                      </c:pt>
                      <c:pt idx="21">
                        <c:v>9.06719613255344E-3</c:v>
                      </c:pt>
                      <c:pt idx="22">
                        <c:v>9.7121856676028306E-3</c:v>
                      </c:pt>
                      <c:pt idx="23">
                        <c:v>1.0376249144713209E-2</c:v>
                      </c:pt>
                      <c:pt idx="24">
                        <c:v>1.1059346189244602E-2</c:v>
                      </c:pt>
                      <c:pt idx="25">
                        <c:v>1.1761436426557035E-2</c:v>
                      </c:pt>
                      <c:pt idx="26">
                        <c:v>1.2482479482010528E-2</c:v>
                      </c:pt>
                      <c:pt idx="27">
                        <c:v>1.3222434980965115E-2</c:v>
                      </c:pt>
                      <c:pt idx="28">
                        <c:v>1.3981262548780815E-2</c:v>
                      </c:pt>
                      <c:pt idx="29">
                        <c:v>1.4758921810817656E-2</c:v>
                      </c:pt>
                      <c:pt idx="30">
                        <c:v>1.5555372392435658E-2</c:v>
                      </c:pt>
                      <c:pt idx="31">
                        <c:v>1.6370573918994852E-2</c:v>
                      </c:pt>
                      <c:pt idx="32">
                        <c:v>1.7204486015855266E-2</c:v>
                      </c:pt>
                      <c:pt idx="33">
                        <c:v>1.8057068308376913E-2</c:v>
                      </c:pt>
                      <c:pt idx="34">
                        <c:v>1.8928280421919831E-2</c:v>
                      </c:pt>
                      <c:pt idx="35">
                        <c:v>1.9818081981844038E-2</c:v>
                      </c:pt>
                      <c:pt idx="36">
                        <c:v>2.0726432613509562E-2</c:v>
                      </c:pt>
                      <c:pt idx="37">
                        <c:v>2.1653291942276425E-2</c:v>
                      </c:pt>
                      <c:pt idx="38">
                        <c:v>2.2598619593504659E-2</c:v>
                      </c:pt>
                      <c:pt idx="39">
                        <c:v>2.3562375192554275E-2</c:v>
                      </c:pt>
                      <c:pt idx="40">
                        <c:v>2.4544518364785314E-2</c:v>
                      </c:pt>
                      <c:pt idx="41">
                        <c:v>2.55450087355578E-2</c:v>
                      </c:pt>
                      <c:pt idx="42">
                        <c:v>2.6563805930231742E-2</c:v>
                      </c:pt>
                      <c:pt idx="43">
                        <c:v>2.760086957416719E-2</c:v>
                      </c:pt>
                      <c:pt idx="44">
                        <c:v>2.8656159292724147E-2</c:v>
                      </c:pt>
                      <c:pt idx="45">
                        <c:v>2.9729634711262644E-2</c:v>
                      </c:pt>
                      <c:pt idx="46">
                        <c:v>3.0821255455142714E-2</c:v>
                      </c:pt>
                      <c:pt idx="47">
                        <c:v>3.1930981149724376E-2</c:v>
                      </c:pt>
                      <c:pt idx="48">
                        <c:v>3.3058771420367658E-2</c:v>
                      </c:pt>
                      <c:pt idx="49">
                        <c:v>3.4204585892432582E-2</c:v>
                      </c:pt>
                      <c:pt idx="50">
                        <c:v>3.5368384191279176E-2</c:v>
                      </c:pt>
                      <c:pt idx="51">
                        <c:v>3.6550125942267461E-2</c:v>
                      </c:pt>
                      <c:pt idx="52">
                        <c:v>3.7749770770757467E-2</c:v>
                      </c:pt>
                      <c:pt idx="53">
                        <c:v>3.8967278302109221E-2</c:v>
                      </c:pt>
                      <c:pt idx="54">
                        <c:v>4.0202608161682737E-2</c:v>
                      </c:pt>
                      <c:pt idx="55">
                        <c:v>4.1455719974838053E-2</c:v>
                      </c:pt>
                      <c:pt idx="56">
                        <c:v>4.272657336693518E-2</c:v>
                      </c:pt>
                      <c:pt idx="57">
                        <c:v>4.4015127963334157E-2</c:v>
                      </c:pt>
                      <c:pt idx="58">
                        <c:v>4.5321343389395016E-2</c:v>
                      </c:pt>
                      <c:pt idx="59">
                        <c:v>4.664517927047776E-2</c:v>
                      </c:pt>
                      <c:pt idx="60">
                        <c:v>4.7986595231942424E-2</c:v>
                      </c:pt>
                      <c:pt idx="61">
                        <c:v>4.9345550899149035E-2</c:v>
                      </c:pt>
                      <c:pt idx="62">
                        <c:v>5.0722005897457616E-2</c:v>
                      </c:pt>
                      <c:pt idx="63">
                        <c:v>5.2115919852228181E-2</c:v>
                      </c:pt>
                      <c:pt idx="64">
                        <c:v>5.3527252388820792E-2</c:v>
                      </c:pt>
                      <c:pt idx="65">
                        <c:v>5.4955963132595424E-2</c:v>
                      </c:pt>
                      <c:pt idx="66">
                        <c:v>5.6402011708912146E-2</c:v>
                      </c:pt>
                      <c:pt idx="67">
                        <c:v>5.7865357743130959E-2</c:v>
                      </c:pt>
                      <c:pt idx="68">
                        <c:v>5.9345960860611897E-2</c:v>
                      </c:pt>
                      <c:pt idx="69">
                        <c:v>6.0843780686714984E-2</c:v>
                      </c:pt>
                      <c:pt idx="70">
                        <c:v>6.2358776846800239E-2</c:v>
                      </c:pt>
                      <c:pt idx="71">
                        <c:v>6.3890908966227705E-2</c:v>
                      </c:pt>
                      <c:pt idx="72">
                        <c:v>6.5440136670357363E-2</c:v>
                      </c:pt>
                      <c:pt idx="73">
                        <c:v>6.7006419584549295E-2</c:v>
                      </c:pt>
                      <c:pt idx="74">
                        <c:v>6.8589717334163497E-2</c:v>
                      </c:pt>
                      <c:pt idx="75">
                        <c:v>7.0189989544559989E-2</c:v>
                      </c:pt>
                      <c:pt idx="76">
                        <c:v>7.180719584109882E-2</c:v>
                      </c:pt>
                      <c:pt idx="77">
                        <c:v>7.344129584913997E-2</c:v>
                      </c:pt>
                      <c:pt idx="78">
                        <c:v>7.5092249194043517E-2</c:v>
                      </c:pt>
                      <c:pt idx="79">
                        <c:v>7.6760015501169468E-2</c:v>
                      </c:pt>
                      <c:pt idx="80">
                        <c:v>7.844455439587783E-2</c:v>
                      </c:pt>
                      <c:pt idx="81">
                        <c:v>8.0145825503528653E-2</c:v>
                      </c:pt>
                      <c:pt idx="82">
                        <c:v>8.1863788449481931E-2</c:v>
                      </c:pt>
                      <c:pt idx="83">
                        <c:v>8.359840285909774E-2</c:v>
                      </c:pt>
                      <c:pt idx="84">
                        <c:v>8.5349628357736046E-2</c:v>
                      </c:pt>
                      <c:pt idx="85">
                        <c:v>8.7117424570756913E-2</c:v>
                      </c:pt>
                      <c:pt idx="86">
                        <c:v>8.8901751123520362E-2</c:v>
                      </c:pt>
                      <c:pt idx="87">
                        <c:v>9.07025676413864E-2</c:v>
                      </c:pt>
                      <c:pt idx="88">
                        <c:v>9.2519833749715077E-2</c:v>
                      </c:pt>
                      <c:pt idx="89">
                        <c:v>9.4353509073866387E-2</c:v>
                      </c:pt>
                      <c:pt idx="90">
                        <c:v>9.6203553239200379E-2</c:v>
                      </c:pt>
                      <c:pt idx="91">
                        <c:v>9.8069925871077088E-2</c:v>
                      </c:pt>
                      <c:pt idx="92">
                        <c:v>9.9952586594856521E-2</c:v>
                      </c:pt>
                      <c:pt idx="93">
                        <c:v>0.10185149503589869</c:v>
                      </c:pt>
                      <c:pt idx="94">
                        <c:v>0.10376661081956363</c:v>
                      </c:pt>
                      <c:pt idx="95">
                        <c:v>0.1056978935712114</c:v>
                      </c:pt>
                      <c:pt idx="96">
                        <c:v>0.10764530291620199</c:v>
                      </c:pt>
                      <c:pt idx="97">
                        <c:v>0.10960879847989541</c:v>
                      </c:pt>
                      <c:pt idx="98">
                        <c:v>0.11158833988765174</c:v>
                      </c:pt>
                      <c:pt idx="99">
                        <c:v>0.11358388676483096</c:v>
                      </c:pt>
                      <c:pt idx="100">
                        <c:v>0.1155953987367931</c:v>
                      </c:pt>
                      <c:pt idx="101">
                        <c:v>0.11762283542889819</c:v>
                      </c:pt>
                      <c:pt idx="102">
                        <c:v>0.11966615646650626</c:v>
                      </c:pt>
                      <c:pt idx="103">
                        <c:v>0.12172532147497733</c:v>
                      </c:pt>
                      <c:pt idx="104">
                        <c:v>0.12380029007967146</c:v>
                      </c:pt>
                      <c:pt idx="105">
                        <c:v>0.12589102190594861</c:v>
                      </c:pt>
                      <c:pt idx="106">
                        <c:v>0.12799747657916885</c:v>
                      </c:pt>
                      <c:pt idx="107">
                        <c:v>0.13011961372469219</c:v>
                      </c:pt>
                      <c:pt idx="108">
                        <c:v>0.13225739296787867</c:v>
                      </c:pt>
                      <c:pt idx="109">
                        <c:v>0.13441077393408829</c:v>
                      </c:pt>
                      <c:pt idx="110">
                        <c:v>0.13657971624868115</c:v>
                      </c:pt>
                      <c:pt idx="111">
                        <c:v>0.13876417953701717</c:v>
                      </c:pt>
                      <c:pt idx="112">
                        <c:v>0.14096412342445638</c:v>
                      </c:pt>
                      <c:pt idx="113">
                        <c:v>0.14317950753635889</c:v>
                      </c:pt>
                      <c:pt idx="114">
                        <c:v>0.14541029149808465</c:v>
                      </c:pt>
                      <c:pt idx="115">
                        <c:v>0.14765643493499375</c:v>
                      </c:pt>
                      <c:pt idx="116">
                        <c:v>0.14991789747244619</c:v>
                      </c:pt>
                      <c:pt idx="117">
                        <c:v>0.152194638735802</c:v>
                      </c:pt>
                      <c:pt idx="118">
                        <c:v>0.15448661835042113</c:v>
                      </c:pt>
                      <c:pt idx="119">
                        <c:v>0.15679379594166371</c:v>
                      </c:pt>
                      <c:pt idx="120">
                        <c:v>0.1591161311348897</c:v>
                      </c:pt>
                      <c:pt idx="121">
                        <c:v>0.16145358355545913</c:v>
                      </c:pt>
                      <c:pt idx="122">
                        <c:v>0.16380611282873206</c:v>
                      </c:pt>
                      <c:pt idx="123">
                        <c:v>0.16617367858006851</c:v>
                      </c:pt>
                      <c:pt idx="124">
                        <c:v>0.1685562404348285</c:v>
                      </c:pt>
                      <c:pt idx="125">
                        <c:v>0.17095375801837198</c:v>
                      </c:pt>
                      <c:pt idx="126">
                        <c:v>0.17336619095605915</c:v>
                      </c:pt>
                      <c:pt idx="127">
                        <c:v>0.17579349887324988</c:v>
                      </c:pt>
                      <c:pt idx="128">
                        <c:v>0.17823564139530423</c:v>
                      </c:pt>
                      <c:pt idx="129">
                        <c:v>0.18069257814758224</c:v>
                      </c:pt>
                      <c:pt idx="130">
                        <c:v>0.18316426875544395</c:v>
                      </c:pt>
                      <c:pt idx="131">
                        <c:v>0.18565067284424935</c:v>
                      </c:pt>
                      <c:pt idx="132">
                        <c:v>0.1881517500393585</c:v>
                      </c:pt>
                      <c:pt idx="133">
                        <c:v>0.19066745996613141</c:v>
                      </c:pt>
                      <c:pt idx="134">
                        <c:v>0.1931977622499281</c:v>
                      </c:pt>
                      <c:pt idx="135">
                        <c:v>0.19574261651610858</c:v>
                      </c:pt>
                      <c:pt idx="136">
                        <c:v>0.19830198239003291</c:v>
                      </c:pt>
                      <c:pt idx="137">
                        <c:v>0.20087581949706113</c:v>
                      </c:pt>
                      <c:pt idx="138">
                        <c:v>0.20346408746255323</c:v>
                      </c:pt>
                      <c:pt idx="139">
                        <c:v>0.20606674591186919</c:v>
                      </c:pt>
                      <c:pt idx="140">
                        <c:v>0.20868375447036913</c:v>
                      </c:pt>
                      <c:pt idx="141">
                        <c:v>0.21131507276341299</c:v>
                      </c:pt>
                      <c:pt idx="142">
                        <c:v>0.21396066041636089</c:v>
                      </c:pt>
                      <c:pt idx="143">
                        <c:v>0.21662047705457277</c:v>
                      </c:pt>
                      <c:pt idx="144">
                        <c:v>0.2192944823034087</c:v>
                      </c:pt>
                      <c:pt idx="145">
                        <c:v>0.22198263578822869</c:v>
                      </c:pt>
                      <c:pt idx="146">
                        <c:v>0.22468489713439274</c:v>
                      </c:pt>
                      <c:pt idx="147">
                        <c:v>0.22740122596726092</c:v>
                      </c:pt>
                      <c:pt idx="148">
                        <c:v>0.23013158191219324</c:v>
                      </c:pt>
                      <c:pt idx="149">
                        <c:v>0.2328759245945497</c:v>
                      </c:pt>
                      <c:pt idx="150">
                        <c:v>0.23563421363969039</c:v>
                      </c:pt>
                      <c:pt idx="151">
                        <c:v>0.23840640867297527</c:v>
                      </c:pt>
                      <c:pt idx="152">
                        <c:v>0.24119246931976443</c:v>
                      </c:pt>
                      <c:pt idx="153">
                        <c:v>0.24399235520541782</c:v>
                      </c:pt>
                      <c:pt idx="154">
                        <c:v>0.24680602595529544</c:v>
                      </c:pt>
                      <c:pt idx="155">
                        <c:v>0.24963344119475739</c:v>
                      </c:pt>
                      <c:pt idx="156">
                        <c:v>0.25247456054916373</c:v>
                      </c:pt>
                      <c:pt idx="157">
                        <c:v>0.25532934364387444</c:v>
                      </c:pt>
                      <c:pt idx="158">
                        <c:v>0.2581977501042495</c:v>
                      </c:pt>
                      <c:pt idx="159">
                        <c:v>0.26107973955564895</c:v>
                      </c:pt>
                      <c:pt idx="160">
                        <c:v>0.26397527162343293</c:v>
                      </c:pt>
                      <c:pt idx="161">
                        <c:v>0.26688430593296136</c:v>
                      </c:pt>
                      <c:pt idx="162">
                        <c:v>0.26980680210959423</c:v>
                      </c:pt>
                      <c:pt idx="163">
                        <c:v>0.27274271977869158</c:v>
                      </c:pt>
                      <c:pt idx="164">
                        <c:v>0.27569201856561359</c:v>
                      </c:pt>
                      <c:pt idx="165">
                        <c:v>0.2786546580957201</c:v>
                      </c:pt>
                      <c:pt idx="166">
                        <c:v>0.28163059799437118</c:v>
                      </c:pt>
                      <c:pt idx="167">
                        <c:v>0.28461979788692682</c:v>
                      </c:pt>
                      <c:pt idx="168">
                        <c:v>0.28762221739874722</c:v>
                      </c:pt>
                      <c:pt idx="169">
                        <c:v>0.2906378161551923</c:v>
                      </c:pt>
                      <c:pt idx="170">
                        <c:v>0.29366655378162199</c:v>
                      </c:pt>
                      <c:pt idx="171">
                        <c:v>0.29670838990339637</c:v>
                      </c:pt>
                      <c:pt idx="172">
                        <c:v>0.29976328414587561</c:v>
                      </c:pt>
                      <c:pt idx="173">
                        <c:v>0.3028311961344195</c:v>
                      </c:pt>
                      <c:pt idx="174">
                        <c:v>0.30591208549438825</c:v>
                      </c:pt>
                      <c:pt idx="175">
                        <c:v>0.30900591185114185</c:v>
                      </c:pt>
                      <c:pt idx="176">
                        <c:v>0.3121126348300402</c:v>
                      </c:pt>
                      <c:pt idx="177">
                        <c:v>0.31523221405644347</c:v>
                      </c:pt>
                      <c:pt idx="178">
                        <c:v>0.31836460915571158</c:v>
                      </c:pt>
                      <c:pt idx="179">
                        <c:v>0.32150977975320466</c:v>
                      </c:pt>
                      <c:pt idx="180">
                        <c:v>0.32466768547428265</c:v>
                      </c:pt>
                      <c:pt idx="181">
                        <c:v>0.32783828594430564</c:v>
                      </c:pt>
                      <c:pt idx="182">
                        <c:v>0.33102154078863361</c:v>
                      </c:pt>
                      <c:pt idx="183">
                        <c:v>0.33421740963262658</c:v>
                      </c:pt>
                      <c:pt idx="184">
                        <c:v>0.33742585210164472</c:v>
                      </c:pt>
                      <c:pt idx="185">
                        <c:v>0.34064682782104777</c:v>
                      </c:pt>
                      <c:pt idx="186">
                        <c:v>0.34388029641619594</c:v>
                      </c:pt>
                      <c:pt idx="187">
                        <c:v>0.34712621751244926</c:v>
                      </c:pt>
                      <c:pt idx="188">
                        <c:v>0.35038455073516772</c:v>
                      </c:pt>
                      <c:pt idx="189">
                        <c:v>0.3536552557097114</c:v>
                      </c:pt>
                      <c:pt idx="190">
                        <c:v>0.35693829206144023</c:v>
                      </c:pt>
                      <c:pt idx="191">
                        <c:v>0.36023361941571425</c:v>
                      </c:pt>
                      <c:pt idx="192">
                        <c:v>0.36354119739789359</c:v>
                      </c:pt>
                      <c:pt idx="193">
                        <c:v>0.36686098563333813</c:v>
                      </c:pt>
                      <c:pt idx="194">
                        <c:v>0.37019294374740802</c:v>
                      </c:pt>
                      <c:pt idx="195">
                        <c:v>0.37353703136546318</c:v>
                      </c:pt>
                      <c:pt idx="196">
                        <c:v>0.3768932081128637</c:v>
                      </c:pt>
                      <c:pt idx="197">
                        <c:v>0.38026143361496961</c:v>
                      </c:pt>
                      <c:pt idx="198">
                        <c:v>0.3836416674971409</c:v>
                      </c:pt>
                      <c:pt idx="199">
                        <c:v>0.38703386938473766</c:v>
                      </c:pt>
                      <c:pt idx="200">
                        <c:v>0.39043799890311981</c:v>
                      </c:pt>
                      <c:pt idx="201">
                        <c:v>0.39385401567764744</c:v>
                      </c:pt>
                      <c:pt idx="202">
                        <c:v>0.39728187933368053</c:v>
                      </c:pt>
                      <c:pt idx="203">
                        <c:v>0.40072154949657923</c:v>
                      </c:pt>
                      <c:pt idx="204">
                        <c:v>0.40417298579170347</c:v>
                      </c:pt>
                      <c:pt idx="205">
                        <c:v>0.40763614784441327</c:v>
                      </c:pt>
                      <c:pt idx="206">
                        <c:v>0.41111099528006861</c:v>
                      </c:pt>
                      <c:pt idx="207">
                        <c:v>0.4145974877240296</c:v>
                      </c:pt>
                      <c:pt idx="208">
                        <c:v>0.41809558480165632</c:v>
                      </c:pt>
                      <c:pt idx="209">
                        <c:v>0.42160524613830852</c:v>
                      </c:pt>
                      <c:pt idx="210">
                        <c:v>0.42512643135934663</c:v>
                      </c:pt>
                      <c:pt idx="211">
                        <c:v>0.42865910009013031</c:v>
                      </c:pt>
                      <c:pt idx="212">
                        <c:v>0.43220321195601985</c:v>
                      </c:pt>
                      <c:pt idx="213">
                        <c:v>0.43575872658237508</c:v>
                      </c:pt>
                      <c:pt idx="214">
                        <c:v>0.43932560359455619</c:v>
                      </c:pt>
                      <c:pt idx="215">
                        <c:v>0.44290380261792311</c:v>
                      </c:pt>
                      <c:pt idx="216">
                        <c:v>0.44649328327783588</c:v>
                      </c:pt>
                      <c:pt idx="217">
                        <c:v>0.45009400519965448</c:v>
                      </c:pt>
                      <c:pt idx="218">
                        <c:v>0.45370592800873899</c:v>
                      </c:pt>
                      <c:pt idx="219">
                        <c:v>0.45732901133044945</c:v>
                      </c:pt>
                      <c:pt idx="220">
                        <c:v>0.46096321479014579</c:v>
                      </c:pt>
                      <c:pt idx="221">
                        <c:v>0.46460849801318821</c:v>
                      </c:pt>
                      <c:pt idx="222">
                        <c:v>0.46826482062493668</c:v>
                      </c:pt>
                      <c:pt idx="223">
                        <c:v>0.47193214225075103</c:v>
                      </c:pt>
                      <c:pt idx="224">
                        <c:v>0.47561042251599145</c:v>
                      </c:pt>
                      <c:pt idx="225">
                        <c:v>0.47929962104601798</c:v>
                      </c:pt>
                      <c:pt idx="226">
                        <c:v>0.48299969746619059</c:v>
                      </c:pt>
                      <c:pt idx="227">
                        <c:v>0.48671061140186944</c:v>
                      </c:pt>
                      <c:pt idx="228">
                        <c:v>0.49043232247841428</c:v>
                      </c:pt>
                      <c:pt idx="229">
                        <c:v>0.49416479032118538</c:v>
                      </c:pt>
                      <c:pt idx="230">
                        <c:v>0.4979079745555427</c:v>
                      </c:pt>
                      <c:pt idx="231">
                        <c:v>0.50166183480684623</c:v>
                      </c:pt>
                      <c:pt idx="232">
                        <c:v>0.50542633070045595</c:v>
                      </c:pt>
                      <c:pt idx="233">
                        <c:v>0.50920142186173201</c:v>
                      </c:pt>
                      <c:pt idx="234">
                        <c:v>0.51298706791603443</c:v>
                      </c:pt>
                      <c:pt idx="235">
                        <c:v>0.51678322848872316</c:v>
                      </c:pt>
                      <c:pt idx="236">
                        <c:v>0.5205898632051581</c:v>
                      </c:pt>
                      <c:pt idx="237">
                        <c:v>0.52440693169069952</c:v>
                      </c:pt>
                      <c:pt idx="238">
                        <c:v>0.52823439357070734</c:v>
                      </c:pt>
                      <c:pt idx="239">
                        <c:v>0.5320722084705416</c:v>
                      </c:pt>
                      <c:pt idx="240">
                        <c:v>0.53592033601556233</c:v>
                      </c:pt>
                      <c:pt idx="241">
                        <c:v>0.53977873583112956</c:v>
                      </c:pt>
                      <c:pt idx="242">
                        <c:v>0.54364736754260323</c:v>
                      </c:pt>
                      <c:pt idx="243">
                        <c:v>0.54752619077534348</c:v>
                      </c:pt>
                      <c:pt idx="244">
                        <c:v>0.55141516515471012</c:v>
                      </c:pt>
                      <c:pt idx="245">
                        <c:v>0.55531425030606352</c:v>
                      </c:pt>
                      <c:pt idx="246">
                        <c:v>0.55922340585476349</c:v>
                      </c:pt>
                      <c:pt idx="247">
                        <c:v>0.56314259142617018</c:v>
                      </c:pt>
                      <c:pt idx="248">
                        <c:v>0.5670717666456434</c:v>
                      </c:pt>
                      <c:pt idx="249">
                        <c:v>0.57101089113854331</c:v>
                      </c:pt>
                      <c:pt idx="250">
                        <c:v>0.57495992453022982</c:v>
                      </c:pt>
                      <c:pt idx="251">
                        <c:v>0.57891882644606329</c:v>
                      </c:pt>
                      <c:pt idx="252">
                        <c:v>0.58288755651140334</c:v>
                      </c:pt>
                      <c:pt idx="253">
                        <c:v>0.58686607435161031</c:v>
                      </c:pt>
                      <c:pt idx="254">
                        <c:v>0.59085433959204403</c:v>
                      </c:pt>
                      <c:pt idx="255">
                        <c:v>0.59485231185806464</c:v>
                      </c:pt>
                      <c:pt idx="256">
                        <c:v>0.59885995077503196</c:v>
                      </c:pt>
                      <c:pt idx="257">
                        <c:v>0.60287721596830635</c:v>
                      </c:pt>
                      <c:pt idx="258">
                        <c:v>0.60690406706324751</c:v>
                      </c:pt>
                      <c:pt idx="259">
                        <c:v>0.6109404636852156</c:v>
                      </c:pt>
                      <c:pt idx="260">
                        <c:v>0.61498636545957064</c:v>
                      </c:pt>
                      <c:pt idx="261">
                        <c:v>0.61904173201167279</c:v>
                      </c:pt>
                      <c:pt idx="262">
                        <c:v>0.62310652296688185</c:v>
                      </c:pt>
                      <c:pt idx="263">
                        <c:v>0.62718069795055786</c:v>
                      </c:pt>
                      <c:pt idx="264">
                        <c:v>0.63126421658806109</c:v>
                      </c:pt>
                      <c:pt idx="265">
                        <c:v>0.63535703850475134</c:v>
                      </c:pt>
                      <c:pt idx="266">
                        <c:v>0.63945912332598864</c:v>
                      </c:pt>
                      <c:pt idx="267">
                        <c:v>0.64357043067713349</c:v>
                      </c:pt>
                      <c:pt idx="268">
                        <c:v>0.6476909201835449</c:v>
                      </c:pt>
                      <c:pt idx="269">
                        <c:v>0.65182055147058382</c:v>
                      </c:pt>
                      <c:pt idx="270">
                        <c:v>0.65595928416360982</c:v>
                      </c:pt>
                      <c:pt idx="271">
                        <c:v>0.66010707788798317</c:v>
                      </c:pt>
                      <c:pt idx="272">
                        <c:v>0.66426389226906368</c:v>
                      </c:pt>
                      <c:pt idx="273">
                        <c:v>0.66842968693221161</c:v>
                      </c:pt>
                      <c:pt idx="274">
                        <c:v>0.67260442150278676</c:v>
                      </c:pt>
                      <c:pt idx="275">
                        <c:v>0.67678805560614919</c:v>
                      </c:pt>
                      <c:pt idx="276">
                        <c:v>0.68098054886765891</c:v>
                      </c:pt>
                      <c:pt idx="277">
                        <c:v>0.6851818609126763</c:v>
                      </c:pt>
                      <c:pt idx="278">
                        <c:v>0.68939195136656095</c:v>
                      </c:pt>
                      <c:pt idx="279">
                        <c:v>0.69361077985467301</c:v>
                      </c:pt>
                      <c:pt idx="280">
                        <c:v>0.69783830600237251</c:v>
                      </c:pt>
                      <c:pt idx="281">
                        <c:v>0.70207448943501971</c:v>
                      </c:pt>
                      <c:pt idx="282">
                        <c:v>0.7063192897779742</c:v>
                      </c:pt>
                      <c:pt idx="283">
                        <c:v>0.71057266665659624</c:v>
                      </c:pt>
                      <c:pt idx="284">
                        <c:v>0.71483457969624586</c:v>
                      </c:pt>
                      <c:pt idx="285">
                        <c:v>0.71910498852228333</c:v>
                      </c:pt>
                      <c:pt idx="286">
                        <c:v>0.72338385276006789</c:v>
                      </c:pt>
                      <c:pt idx="287">
                        <c:v>0.72767113203496048</c:v>
                      </c:pt>
                      <c:pt idx="288">
                        <c:v>0.73196678597232057</c:v>
                      </c:pt>
                      <c:pt idx="289">
                        <c:v>0.73627077419750853</c:v>
                      </c:pt>
                      <c:pt idx="290">
                        <c:v>0.74058305633588395</c:v>
                      </c:pt>
                      <c:pt idx="291">
                        <c:v>0.74490359201280743</c:v>
                      </c:pt>
                      <c:pt idx="292">
                        <c:v>0.74923234085363843</c:v>
                      </c:pt>
                      <c:pt idx="293">
                        <c:v>0.75356926248373723</c:v>
                      </c:pt>
                      <c:pt idx="294">
                        <c:v>0.75791431652846386</c:v>
                      </c:pt>
                      <c:pt idx="295">
                        <c:v>0.76226746261317835</c:v>
                      </c:pt>
                      <c:pt idx="296">
                        <c:v>0.76662866036324073</c:v>
                      </c:pt>
                      <c:pt idx="297">
                        <c:v>0.77099786940401105</c:v>
                      </c:pt>
                      <c:pt idx="298">
                        <c:v>0.775375049360849</c:v>
                      </c:pt>
                      <c:pt idx="299">
                        <c:v>0.7797601598591154</c:v>
                      </c:pt>
                      <c:pt idx="300">
                        <c:v>0.78415316052416939</c:v>
                      </c:pt>
                      <c:pt idx="301">
                        <c:v>0.78855401098137157</c:v>
                      </c:pt>
                      <c:pt idx="302">
                        <c:v>0.79296267085608152</c:v>
                      </c:pt>
                      <c:pt idx="303">
                        <c:v>0.79737909977365984</c:v>
                      </c:pt>
                      <c:pt idx="304">
                        <c:v>0.801803257359466</c:v>
                      </c:pt>
                      <c:pt idx="305">
                        <c:v>0.80623510323886038</c:v>
                      </c:pt>
                      <c:pt idx="306">
                        <c:v>0.81067459703720268</c:v>
                      </c:pt>
                      <c:pt idx="307">
                        <c:v>0.81512169837985327</c:v>
                      </c:pt>
                      <c:pt idx="308">
                        <c:v>0.81957636689217173</c:v>
                      </c:pt>
                      <c:pt idx="309">
                        <c:v>0.82403856219951899</c:v>
                      </c:pt>
                      <c:pt idx="310">
                        <c:v>0.82850824392725386</c:v>
                      </c:pt>
                      <c:pt idx="311">
                        <c:v>0.83298537170073739</c:v>
                      </c:pt>
                      <c:pt idx="312">
                        <c:v>0.83746990514532882</c:v>
                      </c:pt>
                      <c:pt idx="313">
                        <c:v>0.84196180388638897</c:v>
                      </c:pt>
                      <c:pt idx="314">
                        <c:v>0.84646102754927699</c:v>
                      </c:pt>
                      <c:pt idx="315">
                        <c:v>0.85096753575935391</c:v>
                      </c:pt>
                      <c:pt idx="316">
                        <c:v>0.85548128814197844</c:v>
                      </c:pt>
                      <c:pt idx="317">
                        <c:v>0.86000224432251227</c:v>
                      </c:pt>
                      <c:pt idx="318">
                        <c:v>0.86453036392631377</c:v>
                      </c:pt>
                      <c:pt idx="319">
                        <c:v>0.8690656065787441</c:v>
                      </c:pt>
                      <c:pt idx="320">
                        <c:v>0.87360793190516262</c:v>
                      </c:pt>
                      <c:pt idx="321">
                        <c:v>0.87815729953092991</c:v>
                      </c:pt>
                      <c:pt idx="322">
                        <c:v>0.88271366908140558</c:v>
                      </c:pt>
                      <c:pt idx="323">
                        <c:v>0.8872770001819501</c:v>
                      </c:pt>
                      <c:pt idx="324">
                        <c:v>0.89184725245792273</c:v>
                      </c:pt>
                      <c:pt idx="325">
                        <c:v>0.89642438553468418</c:v>
                      </c:pt>
                      <c:pt idx="326">
                        <c:v>0.90100835903759402</c:v>
                      </c:pt>
                      <c:pt idx="327">
                        <c:v>0.90559913259201297</c:v>
                      </c:pt>
                      <c:pt idx="328">
                        <c:v>0.91019666582330028</c:v>
                      </c:pt>
                      <c:pt idx="329">
                        <c:v>0.91480091835681654</c:v>
                      </c:pt>
                      <c:pt idx="330">
                        <c:v>0.91941184981792112</c:v>
                      </c:pt>
                      <c:pt idx="331">
                        <c:v>0.92402941983197484</c:v>
                      </c:pt>
                      <c:pt idx="332">
                        <c:v>0.92865358802433684</c:v>
                      </c:pt>
                      <c:pt idx="333">
                        <c:v>0.93328431402036804</c:v>
                      </c:pt>
                      <c:pt idx="334">
                        <c:v>0.93792155744542782</c:v>
                      </c:pt>
                      <c:pt idx="335">
                        <c:v>0.94256527792487677</c:v>
                      </c:pt>
                      <c:pt idx="336">
                        <c:v>0.94721543508407413</c:v>
                      </c:pt>
                      <c:pt idx="337">
                        <c:v>0.95187198854838106</c:v>
                      </c:pt>
                      <c:pt idx="338">
                        <c:v>0.95653489794315638</c:v>
                      </c:pt>
                      <c:pt idx="339">
                        <c:v>0.96120412289376078</c:v>
                      </c:pt>
                      <c:pt idx="340">
                        <c:v>0.96587962302555397</c:v>
                      </c:pt>
                      <c:pt idx="341">
                        <c:v>0.97056135796389653</c:v>
                      </c:pt>
                      <c:pt idx="342">
                        <c:v>0.97524928733414773</c:v>
                      </c:pt>
                      <c:pt idx="343">
                        <c:v>0.97994337076166849</c:v>
                      </c:pt>
                      <c:pt idx="344">
                        <c:v>0.98464356787181795</c:v>
                      </c:pt>
                      <c:pt idx="345">
                        <c:v>0.9893498382899566</c:v>
                      </c:pt>
                      <c:pt idx="346">
                        <c:v>0.99406214164144413</c:v>
                      </c:pt>
                      <c:pt idx="347">
                        <c:v>0.99878043755164114</c:v>
                      </c:pt>
                      <c:pt idx="348">
                        <c:v>1.0035046856459071</c:v>
                      </c:pt>
                      <c:pt idx="349">
                        <c:v>1.0082348455496026</c:v>
                      </c:pt>
                      <c:pt idx="350">
                        <c:v>1.012970876888087</c:v>
                      </c:pt>
                      <c:pt idx="351">
                        <c:v>1.0177127392867209</c:v>
                      </c:pt>
                      <c:pt idx="352">
                        <c:v>1.0224603923708639</c:v>
                      </c:pt>
                      <c:pt idx="353">
                        <c:v>1.027213795765876</c:v>
                      </c:pt>
                      <c:pt idx="354">
                        <c:v>1.0319729090971177</c:v>
                      </c:pt>
                      <c:pt idx="355">
                        <c:v>1.0367376919899489</c:v>
                      </c:pt>
                      <c:pt idx="356">
                        <c:v>1.0415081040697292</c:v>
                      </c:pt>
                      <c:pt idx="357">
                        <c:v>1.046284104961819</c:v>
                      </c:pt>
                      <c:pt idx="358">
                        <c:v>1.0510656542915782</c:v>
                      </c:pt>
                      <c:pt idx="359">
                        <c:v>1.0558527116843668</c:v>
                      </c:pt>
                      <c:pt idx="360">
                        <c:v>1.060645236765545</c:v>
                      </c:pt>
                      <c:pt idx="361">
                        <c:v>1.0654431891604728</c:v>
                      </c:pt>
                      <c:pt idx="362">
                        <c:v>1.0702465284945097</c:v>
                      </c:pt>
                      <c:pt idx="363">
                        <c:v>1.0750552143930165</c:v>
                      </c:pt>
                      <c:pt idx="364">
                        <c:v>1.0798692064813529</c:v>
                      </c:pt>
                      <c:pt idx="365">
                        <c:v>1.0846884643848789</c:v>
                      </c:pt>
                      <c:pt idx="366">
                        <c:v>1.089512947728954</c:v>
                      </c:pt>
                      <c:pt idx="367">
                        <c:v>1.0943426161389396</c:v>
                      </c:pt>
                      <c:pt idx="368">
                        <c:v>1.0991774292401943</c:v>
                      </c:pt>
                      <c:pt idx="369">
                        <c:v>1.1040173466580789</c:v>
                      </c:pt>
                      <c:pt idx="370">
                        <c:v>1.1088623280179533</c:v>
                      </c:pt>
                      <c:pt idx="371">
                        <c:v>1.1137123329451775</c:v>
                      </c:pt>
                      <c:pt idx="372">
                        <c:v>1.118567321065111</c:v>
                      </c:pt>
                      <c:pt idx="373">
                        <c:v>1.1234272520031148</c:v>
                      </c:pt>
                      <c:pt idx="374">
                        <c:v>1.1282920853845482</c:v>
                      </c:pt>
                      <c:pt idx="375">
                        <c:v>1.1331617808347718</c:v>
                      </c:pt>
                      <c:pt idx="376">
                        <c:v>1.1380362979791445</c:v>
                      </c:pt>
                      <c:pt idx="377">
                        <c:v>1.1429155964430278</c:v>
                      </c:pt>
                      <c:pt idx="378">
                        <c:v>1.1477996358517808</c:v>
                      </c:pt>
                      <c:pt idx="379">
                        <c:v>1.152688375830764</c:v>
                      </c:pt>
                      <c:pt idx="380">
                        <c:v>1.1575817760053368</c:v>
                      </c:pt>
                      <c:pt idx="381">
                        <c:v>1.1624797960008599</c:v>
                      </c:pt>
                      <c:pt idx="382">
                        <c:v>1.1673823954426927</c:v>
                      </c:pt>
                      <c:pt idx="383">
                        <c:v>1.1722895339561961</c:v>
                      </c:pt>
                      <c:pt idx="384">
                        <c:v>1.1772011711667292</c:v>
                      </c:pt>
                      <c:pt idx="385">
                        <c:v>1.1821172666996524</c:v>
                      </c:pt>
                      <c:pt idx="386">
                        <c:v>1.1870377801803256</c:v>
                      </c:pt>
                      <c:pt idx="387">
                        <c:v>1.1919626712341096</c:v>
                      </c:pt>
                      <c:pt idx="388">
                        <c:v>1.1968918994863631</c:v>
                      </c:pt>
                      <c:pt idx="389">
                        <c:v>1.2018254245624473</c:v>
                      </c:pt>
                      <c:pt idx="390">
                        <c:v>1.2067632060877214</c:v>
                      </c:pt>
                      <c:pt idx="391">
                        <c:v>1.211705203687546</c:v>
                      </c:pt>
                      <c:pt idx="392">
                        <c:v>1.2166513769872802</c:v>
                      </c:pt>
                      <c:pt idx="393">
                        <c:v>1.2216016856122858</c:v>
                      </c:pt>
                      <c:pt idx="394">
                        <c:v>1.2265560891879208</c:v>
                      </c:pt>
                      <c:pt idx="395">
                        <c:v>1.2315145473395468</c:v>
                      </c:pt>
                      <c:pt idx="396">
                        <c:v>1.2364770196925225</c:v>
                      </c:pt>
                      <c:pt idx="397">
                        <c:v>1.2414434658722093</c:v>
                      </c:pt>
                      <c:pt idx="398">
                        <c:v>1.2464138455039659</c:v>
                      </c:pt>
                      <c:pt idx="399">
                        <c:v>1.2513881182131537</c:v>
                      </c:pt>
                      <c:pt idx="400">
                        <c:v>1.2563662436251315</c:v>
                      </c:pt>
                      <c:pt idx="401">
                        <c:v>1.2613481813652601</c:v>
                      </c:pt>
                      <c:pt idx="402">
                        <c:v>1.2663338910588986</c:v>
                      </c:pt>
                      <c:pt idx="403">
                        <c:v>1.2713233323314084</c:v>
                      </c:pt>
                      <c:pt idx="404">
                        <c:v>1.276316464808148</c:v>
                      </c:pt>
                      <c:pt idx="405">
                        <c:v>1.2813132481144791</c:v>
                      </c:pt>
                      <c:pt idx="406">
                        <c:v>1.2863136418757606</c:v>
                      </c:pt>
                      <c:pt idx="407">
                        <c:v>1.2913176057173525</c:v>
                      </c:pt>
                      <c:pt idx="408">
                        <c:v>1.2963250992646149</c:v>
                      </c:pt>
                      <c:pt idx="409">
                        <c:v>1.3013360821429085</c:v>
                      </c:pt>
                      <c:pt idx="410">
                        <c:v>1.3063505139775924</c:v>
                      </c:pt>
                      <c:pt idx="411">
                        <c:v>1.3113683543940278</c:v>
                      </c:pt>
                      <c:pt idx="412">
                        <c:v>1.3163895630175733</c:v>
                      </c:pt>
                      <c:pt idx="413">
                        <c:v>1.3214140994735897</c:v>
                      </c:pt>
                      <c:pt idx="414">
                        <c:v>1.3264419233874369</c:v>
                      </c:pt>
                      <c:pt idx="415">
                        <c:v>1.3314729943844754</c:v>
                      </c:pt>
                      <c:pt idx="416">
                        <c:v>1.3365072720900641</c:v>
                      </c:pt>
                      <c:pt idx="417">
                        <c:v>1.3415447161295644</c:v>
                      </c:pt>
                      <c:pt idx="418">
                        <c:v>1.3465852861283352</c:v>
                      </c:pt>
                      <c:pt idx="419">
                        <c:v>1.3516289417117373</c:v>
                      </c:pt>
                      <c:pt idx="420">
                        <c:v>1.3566756425051298</c:v>
                      </c:pt>
                      <c:pt idx="421">
                        <c:v>1.361725348133874</c:v>
                      </c:pt>
                      <c:pt idx="422">
                        <c:v>1.3667780182233287</c:v>
                      </c:pt>
                      <c:pt idx="423">
                        <c:v>1.3718336123988548</c:v>
                      </c:pt>
                      <c:pt idx="424">
                        <c:v>1.3768920902858117</c:v>
                      </c:pt>
                      <c:pt idx="425">
                        <c:v>1.3819534115095604</c:v>
                      </c:pt>
                      <c:pt idx="426">
                        <c:v>1.3870175356954593</c:v>
                      </c:pt>
                      <c:pt idx="427">
                        <c:v>1.3920844224688698</c:v>
                      </c:pt>
                      <c:pt idx="428">
                        <c:v>1.3971540314551518</c:v>
                      </c:pt>
                      <c:pt idx="429">
                        <c:v>1.4022263222796645</c:v>
                      </c:pt>
                      <c:pt idx="430">
                        <c:v>1.4073012545677688</c:v>
                      </c:pt>
                      <c:pt idx="431">
                        <c:v>1.4123787879448242</c:v>
                      </c:pt>
                      <c:pt idx="432">
                        <c:v>1.4174588820361906</c:v>
                      </c:pt>
                      <c:pt idx="433">
                        <c:v>1.4225414964672292</c:v>
                      </c:pt>
                      <c:pt idx="434">
                        <c:v>1.4276265908632981</c:v>
                      </c:pt>
                      <c:pt idx="435">
                        <c:v>1.432714124849759</c:v>
                      </c:pt>
                      <c:pt idx="436">
                        <c:v>1.4378040580519711</c:v>
                      </c:pt>
                      <c:pt idx="437">
                        <c:v>1.4428963500952947</c:v>
                      </c:pt>
                      <c:pt idx="438">
                        <c:v>1.4479909606050896</c:v>
                      </c:pt>
                      <c:pt idx="439">
                        <c:v>1.4530878492067159</c:v>
                      </c:pt>
                      <c:pt idx="440">
                        <c:v>1.4581869755255339</c:v>
                      </c:pt>
                      <c:pt idx="441">
                        <c:v>1.4632882991869036</c:v>
                      </c:pt>
                      <c:pt idx="442">
                        <c:v>1.4683917798161843</c:v>
                      </c:pt>
                      <c:pt idx="443">
                        <c:v>1.4734973770387374</c:v>
                      </c:pt>
                      <c:pt idx="444">
                        <c:v>1.4786050504799213</c:v>
                      </c:pt>
                      <c:pt idx="445">
                        <c:v>1.483714759765097</c:v>
                      </c:pt>
                      <c:pt idx="446">
                        <c:v>1.4888264645196245</c:v>
                      </c:pt>
                      <c:pt idx="447">
                        <c:v>1.4939401243688635</c:v>
                      </c:pt>
                      <c:pt idx="448">
                        <c:v>1.4990556989381743</c:v>
                      </c:pt>
                      <c:pt idx="449">
                        <c:v>1.504173147852917</c:v>
                      </c:pt>
                      <c:pt idx="450">
                        <c:v>1.509292430738451</c:v>
                      </c:pt>
                      <c:pt idx="451">
                        <c:v>1.5144135072201372</c:v>
                      </c:pt>
                      <c:pt idx="452">
                        <c:v>1.519536336923335</c:v>
                      </c:pt>
                      <c:pt idx="453">
                        <c:v>1.5246608794734047</c:v>
                      </c:pt>
                      <c:pt idx="454">
                        <c:v>1.5297870944957062</c:v>
                      </c:pt>
                      <c:pt idx="455">
                        <c:v>1.5349149416155996</c:v>
                      </c:pt>
                      <c:pt idx="456">
                        <c:v>1.5400443804584447</c:v>
                      </c:pt>
                      <c:pt idx="457">
                        <c:v>1.5451753706496021</c:v>
                      </c:pt>
                      <c:pt idx="458">
                        <c:v>1.550307871814431</c:v>
                      </c:pt>
                      <c:pt idx="459">
                        <c:v>1.5554418435782924</c:v>
                      </c:pt>
                      <c:pt idx="460">
                        <c:v>1.5605772455665448</c:v>
                      </c:pt>
                      <c:pt idx="461">
                        <c:v>1.5657140374045504</c:v>
                      </c:pt>
                      <c:pt idx="462">
                        <c:v>1.5708521787176675</c:v>
                      </c:pt>
                      <c:pt idx="463">
                        <c:v>1.5759916291312568</c:v>
                      </c:pt>
                      <c:pt idx="464">
                        <c:v>1.5811323482706778</c:v>
                      </c:pt>
                      <c:pt idx="465">
                        <c:v>1.5862742957612916</c:v>
                      </c:pt>
                      <c:pt idx="466">
                        <c:v>1.5914174312284568</c:v>
                      </c:pt>
                      <c:pt idx="467">
                        <c:v>1.596561714297535</c:v>
                      </c:pt>
                      <c:pt idx="468">
                        <c:v>1.6017071045938849</c:v>
                      </c:pt>
                      <c:pt idx="469">
                        <c:v>1.6068535617428674</c:v>
                      </c:pt>
                      <c:pt idx="470">
                        <c:v>1.6120010453698415</c:v>
                      </c:pt>
                      <c:pt idx="471">
                        <c:v>1.6171495151001682</c:v>
                      </c:pt>
                      <c:pt idx="472">
                        <c:v>1.622298930559207</c:v>
                      </c:pt>
                      <c:pt idx="473">
                        <c:v>1.6274492513723187</c:v>
                      </c:pt>
                      <c:pt idx="474">
                        <c:v>1.6326004371648621</c:v>
                      </c:pt>
                      <c:pt idx="475">
                        <c:v>1.6377524475621985</c:v>
                      </c:pt>
                      <c:pt idx="476">
                        <c:v>1.6429052421896868</c:v>
                      </c:pt>
                      <c:pt idx="477">
                        <c:v>1.6480587806726876</c:v>
                      </c:pt>
                      <c:pt idx="478">
                        <c:v>1.6532130226365609</c:v>
                      </c:pt>
                      <c:pt idx="479">
                        <c:v>1.658367927706667</c:v>
                      </c:pt>
                      <c:pt idx="480">
                        <c:v>1.6635234555083649</c:v>
                      </c:pt>
                      <c:pt idx="481">
                        <c:v>1.6686795656670159</c:v>
                      </c:pt>
                      <c:pt idx="482">
                        <c:v>1.6738362178079795</c:v>
                      </c:pt>
                      <c:pt idx="483">
                        <c:v>1.6789933715566154</c:v>
                      </c:pt>
                      <c:pt idx="484">
                        <c:v>1.6841509865382833</c:v>
                      </c:pt>
                      <c:pt idx="485">
                        <c:v>1.6893090223783451</c:v>
                      </c:pt>
                      <c:pt idx="486">
                        <c:v>1.6944674387021588</c:v>
                      </c:pt>
                      <c:pt idx="487">
                        <c:v>1.6996261951350857</c:v>
                      </c:pt>
                      <c:pt idx="488">
                        <c:v>1.7047852513024844</c:v>
                      </c:pt>
                      <c:pt idx="489">
                        <c:v>1.7099445668297166</c:v>
                      </c:pt>
                      <c:pt idx="490">
                        <c:v>1.7151041013421411</c:v>
                      </c:pt>
                      <c:pt idx="491">
                        <c:v>1.720263814465119</c:v>
                      </c:pt>
                      <c:pt idx="492">
                        <c:v>1.7254236658240085</c:v>
                      </c:pt>
                      <c:pt idx="493">
                        <c:v>1.7305836150441722</c:v>
                      </c:pt>
                      <c:pt idx="494">
                        <c:v>1.7357436217509681</c:v>
                      </c:pt>
                      <c:pt idx="495">
                        <c:v>1.7409036455697569</c:v>
                      </c:pt>
                      <c:pt idx="496">
                        <c:v>1.7460636461258985</c:v>
                      </c:pt>
                      <c:pt idx="497">
                        <c:v>1.7512235830447533</c:v>
                      </c:pt>
                      <c:pt idx="498">
                        <c:v>1.7563834159516807</c:v>
                      </c:pt>
                      <c:pt idx="499">
                        <c:v>1.7615431044720415</c:v>
                      </c:pt>
                      <c:pt idx="500">
                        <c:v>1.7667026082311947</c:v>
                      </c:pt>
                      <c:pt idx="501">
                        <c:v>1.7718618868545013</c:v>
                      </c:pt>
                      <c:pt idx="502">
                        <c:v>1.7770208999673209</c:v>
                      </c:pt>
                      <c:pt idx="503">
                        <c:v>1.7821796071950138</c:v>
                      </c:pt>
                      <c:pt idx="504">
                        <c:v>1.7873379681629398</c:v>
                      </c:pt>
                      <c:pt idx="505">
                        <c:v>1.7924959424964588</c:v>
                      </c:pt>
                      <c:pt idx="506">
                        <c:v>1.7976534898209307</c:v>
                      </c:pt>
                      <c:pt idx="507">
                        <c:v>1.8028105697617163</c:v>
                      </c:pt>
                      <c:pt idx="508">
                        <c:v>1.8079671419441747</c:v>
                      </c:pt>
                      <c:pt idx="509">
                        <c:v>1.8131231659936664</c:v>
                      </c:pt>
                      <c:pt idx="510">
                        <c:v>1.8182786015355514</c:v>
                      </c:pt>
                      <c:pt idx="511">
                        <c:v>1.8234334081951897</c:v>
                      </c:pt>
                      <c:pt idx="512">
                        <c:v>1.8285875455979417</c:v>
                      </c:pt>
                      <c:pt idx="513">
                        <c:v>1.8337409733691665</c:v>
                      </c:pt>
                      <c:pt idx="514">
                        <c:v>1.8388936511342244</c:v>
                      </c:pt>
                      <c:pt idx="515">
                        <c:v>1.8440455385184762</c:v>
                      </c:pt>
                      <c:pt idx="516">
                        <c:v>1.8491965951472817</c:v>
                      </c:pt>
                      <c:pt idx="517">
                        <c:v>1.8543467806460001</c:v>
                      </c:pt>
                      <c:pt idx="518">
                        <c:v>1.8594960546399917</c:v>
                      </c:pt>
                      <c:pt idx="519">
                        <c:v>1.8646443767546175</c:v>
                      </c:pt>
                      <c:pt idx="520">
                        <c:v>1.8697917066152363</c:v>
                      </c:pt>
                      <c:pt idx="521">
                        <c:v>1.8749380038472088</c:v>
                      </c:pt>
                      <c:pt idx="522">
                        <c:v>1.880083228075895</c:v>
                      </c:pt>
                      <c:pt idx="523">
                        <c:v>1.8852273389266543</c:v>
                      </c:pt>
                      <c:pt idx="524">
                        <c:v>1.8903702960248479</c:v>
                      </c:pt>
                      <c:pt idx="525">
                        <c:v>1.8955120589958347</c:v>
                      </c:pt>
                      <c:pt idx="526">
                        <c:v>1.9006525874649753</c:v>
                      </c:pt>
                      <c:pt idx="527">
                        <c:v>1.9057918410576296</c:v>
                      </c:pt>
                      <c:pt idx="528">
                        <c:v>1.9109297793991571</c:v>
                      </c:pt>
                      <c:pt idx="529">
                        <c:v>1.9160663621149192</c:v>
                      </c:pt>
                      <c:pt idx="530">
                        <c:v>1.9212015488302743</c:v>
                      </c:pt>
                      <c:pt idx="531">
                        <c:v>1.9263352991705838</c:v>
                      </c:pt>
                      <c:pt idx="532">
                        <c:v>1.9314675727612065</c:v>
                      </c:pt>
                      <c:pt idx="533">
                        <c:v>1.9365983292275031</c:v>
                      </c:pt>
                      <c:pt idx="534">
                        <c:v>1.9417275281948345</c:v>
                      </c:pt>
                      <c:pt idx="535">
                        <c:v>1.9468551292885588</c:v>
                      </c:pt>
                      <c:pt idx="536">
                        <c:v>1.9519810921340373</c:v>
                      </c:pt>
                      <c:pt idx="537">
                        <c:v>1.9571053763566297</c:v>
                      </c:pt>
                      <c:pt idx="538">
                        <c:v>1.9622279415816961</c:v>
                      </c:pt>
                      <c:pt idx="539">
                        <c:v>1.9673487474345968</c:v>
                      </c:pt>
                      <c:pt idx="540">
                        <c:v>1.9724677535406909</c:v>
                      </c:pt>
                      <c:pt idx="541">
                        <c:v>1.9775849195253397</c:v>
                      </c:pt>
                      <c:pt idx="542">
                        <c:v>1.9827002050139022</c:v>
                      </c:pt>
                      <c:pt idx="543">
                        <c:v>1.9878135696317387</c:v>
                      </c:pt>
                      <c:pt idx="544">
                        <c:v>1.9929249730042093</c:v>
                      </c:pt>
                      <c:pt idx="545">
                        <c:v>1.9980343747566742</c:v>
                      </c:pt>
                      <c:pt idx="546">
                        <c:v>2.0031417345144931</c:v>
                      </c:pt>
                      <c:pt idx="547">
                        <c:v>2.008247011903026</c:v>
                      </c:pt>
                      <c:pt idx="548">
                        <c:v>2.0133501665476339</c:v>
                      </c:pt>
                      <c:pt idx="549">
                        <c:v>2.0184511580736757</c:v>
                      </c:pt>
                      <c:pt idx="550">
                        <c:v>2.0235499461065114</c:v>
                      </c:pt>
                      <c:pt idx="551">
                        <c:v>2.0286464902715013</c:v>
                      </c:pt>
                      <c:pt idx="552">
                        <c:v>2.0337407501940059</c:v>
                      </c:pt>
                      <c:pt idx="553">
                        <c:v>2.038832685499385</c:v>
                      </c:pt>
                      <c:pt idx="554">
                        <c:v>2.0439222558129977</c:v>
                      </c:pt>
                      <c:pt idx="555">
                        <c:v>2.0490094207602061</c:v>
                      </c:pt>
                      <c:pt idx="556">
                        <c:v>2.0540941399663675</c:v>
                      </c:pt>
                      <c:pt idx="557">
                        <c:v>2.059176373056844</c:v>
                      </c:pt>
                      <c:pt idx="558">
                        <c:v>2.0642560796569951</c:v>
                      </c:pt>
                      <c:pt idx="559">
                        <c:v>2.0693332193921807</c:v>
                      </c:pt>
                      <c:pt idx="560">
                        <c:v>2.0744077518877604</c:v>
                      </c:pt>
                      <c:pt idx="561">
                        <c:v>2.0794796367690949</c:v>
                      </c:pt>
                      <c:pt idx="562">
                        <c:v>2.0845488336615441</c:v>
                      </c:pt>
                      <c:pt idx="563">
                        <c:v>2.0896153021904675</c:v>
                      </c:pt>
                      <c:pt idx="564">
                        <c:v>2.0946790019812256</c:v>
                      </c:pt>
                      <c:pt idx="565">
                        <c:v>2.0997398926591786</c:v>
                      </c:pt>
                      <c:pt idx="566">
                        <c:v>2.1047979338496861</c:v>
                      </c:pt>
                      <c:pt idx="567">
                        <c:v>2.1098530851781088</c:v>
                      </c:pt>
                      <c:pt idx="568">
                        <c:v>2.1149053062698053</c:v>
                      </c:pt>
                      <c:pt idx="569">
                        <c:v>2.119954556750137</c:v>
                      </c:pt>
                      <c:pt idx="570">
                        <c:v>2.1250007962444637</c:v>
                      </c:pt>
                      <c:pt idx="571">
                        <c:v>2.1300439843781449</c:v>
                      </c:pt>
                      <c:pt idx="572">
                        <c:v>2.135084080776541</c:v>
                      </c:pt>
                      <c:pt idx="573">
                        <c:v>2.1401210450650119</c:v>
                      </c:pt>
                      <c:pt idx="574">
                        <c:v>2.1451548368689175</c:v>
                      </c:pt>
                      <c:pt idx="575">
                        <c:v>2.1501854158136182</c:v>
                      </c:pt>
                      <c:pt idx="576">
                        <c:v>2.155212741524474</c:v>
                      </c:pt>
                      <c:pt idx="577">
                        <c:v>2.1602367736268446</c:v>
                      </c:pt>
                      <c:pt idx="578">
                        <c:v>2.1652574717460902</c:v>
                      </c:pt>
                      <c:pt idx="579">
                        <c:v>2.1702747955075705</c:v>
                      </c:pt>
                      <c:pt idx="580">
                        <c:v>2.175288704536646</c:v>
                      </c:pt>
                      <c:pt idx="581">
                        <c:v>2.1802991584586762</c:v>
                      </c:pt>
                      <c:pt idx="582">
                        <c:v>2.1853061168990222</c:v>
                      </c:pt>
                      <c:pt idx="583">
                        <c:v>2.1903095394830432</c:v>
                      </c:pt>
                      <c:pt idx="584">
                        <c:v>2.195309385836099</c:v>
                      </c:pt>
                      <c:pt idx="585">
                        <c:v>2.2003056155835496</c:v>
                      </c:pt>
                      <c:pt idx="586">
                        <c:v>2.2052981883507559</c:v>
                      </c:pt>
                      <c:pt idx="587">
                        <c:v>2.2102870637630772</c:v>
                      </c:pt>
                      <c:pt idx="588">
                        <c:v>2.2152722014458739</c:v>
                      </c:pt>
                      <c:pt idx="589">
                        <c:v>2.2202535610245056</c:v>
                      </c:pt>
                      <c:pt idx="590">
                        <c:v>2.2252311021243329</c:v>
                      </c:pt>
                      <c:pt idx="591">
                        <c:v>2.2302047843707151</c:v>
                      </c:pt>
                      <c:pt idx="592">
                        <c:v>2.2351745673890129</c:v>
                      </c:pt>
                      <c:pt idx="593">
                        <c:v>2.2401404108045857</c:v>
                      </c:pt>
                      <c:pt idx="594">
                        <c:v>2.2451022742427944</c:v>
                      </c:pt>
                      <c:pt idx="595">
                        <c:v>2.250060117328998</c:v>
                      </c:pt>
                      <c:pt idx="596">
                        <c:v>2.2550138996885574</c:v>
                      </c:pt>
                      <c:pt idx="597">
                        <c:v>2.2599635809468319</c:v>
                      </c:pt>
                      <c:pt idx="598">
                        <c:v>2.2649091207291825</c:v>
                      </c:pt>
                      <c:pt idx="599">
                        <c:v>2.2698504786609677</c:v>
                      </c:pt>
                      <c:pt idx="600">
                        <c:v>2.2747876143675492</c:v>
                      </c:pt>
                      <c:pt idx="601">
                        <c:v>2.279720487474286</c:v>
                      </c:pt>
                      <c:pt idx="602">
                        <c:v>2.2846490576065381</c:v>
                      </c:pt>
                      <c:pt idx="603">
                        <c:v>2.2895732843896663</c:v>
                      </c:pt>
                      <c:pt idx="604">
                        <c:v>2.2944931274490297</c:v>
                      </c:pt>
                      <c:pt idx="605">
                        <c:v>2.2994085464099889</c:v>
                      </c:pt>
                      <c:pt idx="606">
                        <c:v>2.3043195008979036</c:v>
                      </c:pt>
                      <c:pt idx="607">
                        <c:v>2.3092259505381341</c:v>
                      </c:pt>
                      <c:pt idx="608">
                        <c:v>2.3141278549560411</c:v>
                      </c:pt>
                      <c:pt idx="609">
                        <c:v>2.3190251737769825</c:v>
                      </c:pt>
                      <c:pt idx="610">
                        <c:v>2.3239178666263207</c:v>
                      </c:pt>
                      <c:pt idx="611">
                        <c:v>2.328805893129414</c:v>
                      </c:pt>
                      <c:pt idx="612">
                        <c:v>2.3336892129116236</c:v>
                      </c:pt>
                      <c:pt idx="613">
                        <c:v>2.3385677855983085</c:v>
                      </c:pt>
                      <c:pt idx="614">
                        <c:v>2.3434415708148304</c:v>
                      </c:pt>
                      <c:pt idx="615">
                        <c:v>2.3483105281865471</c:v>
                      </c:pt>
                      <c:pt idx="616">
                        <c:v>2.3531746173388202</c:v>
                      </c:pt>
                      <c:pt idx="617">
                        <c:v>2.3580337978970092</c:v>
                      </c:pt>
                      <c:pt idx="618">
                        <c:v>2.362888029486474</c:v>
                      </c:pt>
                      <c:pt idx="619">
                        <c:v>2.3677372717325746</c:v>
                      </c:pt>
                      <c:pt idx="620">
                        <c:v>2.3725814842606714</c:v>
                      </c:pt>
                      <c:pt idx="621">
                        <c:v>2.3774206266961246</c:v>
                      </c:pt>
                      <c:pt idx="622">
                        <c:v>2.3822546586642934</c:v>
                      </c:pt>
                      <c:pt idx="623">
                        <c:v>2.387083539790539</c:v>
                      </c:pt>
                      <c:pt idx="624">
                        <c:v>2.3919072297002204</c:v>
                      </c:pt>
                      <c:pt idx="625">
                        <c:v>2.3967256880186976</c:v>
                      </c:pt>
                      <c:pt idx="626">
                        <c:v>2.4015388743713313</c:v>
                      </c:pt>
                      <c:pt idx="627">
                        <c:v>2.4063467483834815</c:v>
                      </c:pt>
                      <c:pt idx="628">
                        <c:v>2.4111492696805072</c:v>
                      </c:pt>
                      <c:pt idx="629">
                        <c:v>2.4159463978877698</c:v>
                      </c:pt>
                      <c:pt idx="630">
                        <c:v>2.4207380926306286</c:v>
                      </c:pt>
                      <c:pt idx="631">
                        <c:v>2.4255243135344431</c:v>
                      </c:pt>
                      <c:pt idx="632">
                        <c:v>2.4303050202245737</c:v>
                      </c:pt>
                      <c:pt idx="633">
                        <c:v>2.4350801723263817</c:v>
                      </c:pt>
                      <c:pt idx="634">
                        <c:v>2.4398497294652257</c:v>
                      </c:pt>
                      <c:pt idx="635">
                        <c:v>2.444613651266466</c:v>
                      </c:pt>
                      <c:pt idx="636">
                        <c:v>2.449371897355463</c:v>
                      </c:pt>
                      <c:pt idx="637">
                        <c:v>2.4541244273575762</c:v>
                      </c:pt>
                      <c:pt idx="638">
                        <c:v>2.4588712008981659</c:v>
                      </c:pt>
                      <c:pt idx="639">
                        <c:v>2.4636121776025921</c:v>
                      </c:pt>
                      <c:pt idx="640">
                        <c:v>2.4683473170962147</c:v>
                      </c:pt>
                      <c:pt idx="641">
                        <c:v>2.4730765790043945</c:v>
                      </c:pt>
                      <c:pt idx="642">
                        <c:v>2.4777999229524896</c:v>
                      </c:pt>
                      <c:pt idx="643">
                        <c:v>2.4825173085658623</c:v>
                      </c:pt>
                      <c:pt idx="644">
                        <c:v>2.4872286954698719</c:v>
                      </c:pt>
                      <c:pt idx="645">
                        <c:v>2.4919340432898776</c:v>
                      </c:pt>
                      <c:pt idx="646">
                        <c:v>2.49663331165124</c:v>
                      </c:pt>
                      <c:pt idx="647">
                        <c:v>2.5013264601793193</c:v>
                      </c:pt>
                      <c:pt idx="648">
                        <c:v>2.5060134484994752</c:v>
                      </c:pt>
                      <c:pt idx="649">
                        <c:v>2.5106942362370681</c:v>
                      </c:pt>
                      <c:pt idx="650">
                        <c:v>2.5153687830174571</c:v>
                      </c:pt>
                      <c:pt idx="651">
                        <c:v>2.5200370484660035</c:v>
                      </c:pt>
                      <c:pt idx="652">
                        <c:v>2.5246989922080663</c:v>
                      </c:pt>
                      <c:pt idx="653">
                        <c:v>2.5293545738690066</c:v>
                      </c:pt>
                      <c:pt idx="654">
                        <c:v>2.5340037530741837</c:v>
                      </c:pt>
                      <c:pt idx="655">
                        <c:v>2.5386464894489573</c:v>
                      </c:pt>
                      <c:pt idx="656">
                        <c:v>2.5432827426186879</c:v>
                      </c:pt>
                      <c:pt idx="657">
                        <c:v>2.5479124722087354</c:v>
                      </c:pt>
                      <c:pt idx="658">
                        <c:v>2.5525356378444601</c:v>
                      </c:pt>
                      <c:pt idx="659">
                        <c:v>2.557152199151222</c:v>
                      </c:pt>
                      <c:pt idx="660">
                        <c:v>2.5617621157543802</c:v>
                      </c:pt>
                      <c:pt idx="661">
                        <c:v>2.5663653472792962</c:v>
                      </c:pt>
                      <c:pt idx="662">
                        <c:v>2.5709618533513288</c:v>
                      </c:pt>
                      <c:pt idx="663">
                        <c:v>2.5755515935958391</c:v>
                      </c:pt>
                      <c:pt idx="664">
                        <c:v>2.5801345276381857</c:v>
                      </c:pt>
                      <c:pt idx="665">
                        <c:v>2.58471061510373</c:v>
                      </c:pt>
                      <c:pt idx="666">
                        <c:v>2.5892798156178314</c:v>
                      </c:pt>
                      <c:pt idx="667">
                        <c:v>2.5938420888058498</c:v>
                      </c:pt>
                      <c:pt idx="668">
                        <c:v>2.5983973942931455</c:v>
                      </c:pt>
                      <c:pt idx="669">
                        <c:v>2.6029456917050791</c:v>
                      </c:pt>
                      <c:pt idx="670">
                        <c:v>2.6074869406670089</c:v>
                      </c:pt>
                      <c:pt idx="671">
                        <c:v>2.6120211008042973</c:v>
                      </c:pt>
                      <c:pt idx="672">
                        <c:v>2.6165481317423018</c:v>
                      </c:pt>
                      <c:pt idx="673">
                        <c:v>2.6210679931063847</c:v>
                      </c:pt>
                      <c:pt idx="674">
                        <c:v>2.6255806445219041</c:v>
                      </c:pt>
                      <c:pt idx="675">
                        <c:v>2.6300860456142212</c:v>
                      </c:pt>
                      <c:pt idx="676">
                        <c:v>2.634584156008696</c:v>
                      </c:pt>
                      <c:pt idx="677">
                        <c:v>2.6390749353306884</c:v>
                      </c:pt>
                      <c:pt idx="678">
                        <c:v>2.6435583432055578</c:v>
                      </c:pt>
                      <c:pt idx="679">
                        <c:v>2.6480343392586647</c:v>
                      </c:pt>
                      <c:pt idx="680">
                        <c:v>2.6525028831153694</c:v>
                      </c:pt>
                      <c:pt idx="681">
                        <c:v>2.6569639344010314</c:v>
                      </c:pt>
                      <c:pt idx="682">
                        <c:v>2.661417452741011</c:v>
                      </c:pt>
                      <c:pt idx="683">
                        <c:v>2.6658633977606687</c:v>
                      </c:pt>
                      <c:pt idx="684">
                        <c:v>2.6703017290853639</c:v>
                      </c:pt>
                      <c:pt idx="685">
                        <c:v>2.6747324063404565</c:v>
                      </c:pt>
                      <c:pt idx="686">
                        <c:v>2.6791553891513074</c:v>
                      </c:pt>
                      <c:pt idx="687">
                        <c:v>2.6835706371432755</c:v>
                      </c:pt>
                      <c:pt idx="688">
                        <c:v>2.6879781099417208</c:v>
                      </c:pt>
                      <c:pt idx="689">
                        <c:v>2.6923777671720046</c:v>
                      </c:pt>
                      <c:pt idx="690">
                        <c:v>2.6967695684594863</c:v>
                      </c:pt>
                      <c:pt idx="691">
                        <c:v>2.7011534734295255</c:v>
                      </c:pt>
                      <c:pt idx="692">
                        <c:v>2.7055294417074824</c:v>
                      </c:pt>
                      <c:pt idx="693">
                        <c:v>2.7098974329187175</c:v>
                      </c:pt>
                      <c:pt idx="694">
                        <c:v>2.7142574066885894</c:v>
                      </c:pt>
                      <c:pt idx="695">
                        <c:v>2.718609322642461</c:v>
                      </c:pt>
                      <c:pt idx="696">
                        <c:v>2.7229531404056893</c:v>
                      </c:pt>
                      <c:pt idx="697">
                        <c:v>2.7272888196036362</c:v>
                      </c:pt>
                      <c:pt idx="698">
                        <c:v>2.7316163198616605</c:v>
                      </c:pt>
                      <c:pt idx="699">
                        <c:v>2.7359356008051234</c:v>
                      </c:pt>
                      <c:pt idx="700">
                        <c:v>2.740246622059384</c:v>
                      </c:pt>
                      <c:pt idx="701">
                        <c:v>2.7445493432498029</c:v>
                      </c:pt>
                      <c:pt idx="702">
                        <c:v>2.7488437240017394</c:v>
                      </c:pt>
                      <c:pt idx="703">
                        <c:v>2.7531297239405541</c:v>
                      </c:pt>
                      <c:pt idx="704">
                        <c:v>2.7574073026916075</c:v>
                      </c:pt>
                      <c:pt idx="705">
                        <c:v>2.761676419880259</c:v>
                      </c:pt>
                      <c:pt idx="706">
                        <c:v>2.7659370351318682</c:v>
                      </c:pt>
                      <c:pt idx="707">
                        <c:v>2.7701891080717962</c:v>
                      </c:pt>
                      <c:pt idx="708">
                        <c:v>2.7744325983254017</c:v>
                      </c:pt>
                      <c:pt idx="709">
                        <c:v>2.7786674655180459</c:v>
                      </c:pt>
                      <c:pt idx="710">
                        <c:v>2.7828936692750883</c:v>
                      </c:pt>
                      <c:pt idx="711">
                        <c:v>2.7871111692218897</c:v>
                      </c:pt>
                      <c:pt idx="712">
                        <c:v>2.7913199249838088</c:v>
                      </c:pt>
                      <c:pt idx="713">
                        <c:v>2.7955198961862058</c:v>
                      </c:pt>
                      <c:pt idx="714">
                        <c:v>2.7997110424544416</c:v>
                      </c:pt>
                      <c:pt idx="715">
                        <c:v>2.8038933234138765</c:v>
                      </c:pt>
                      <c:pt idx="716">
                        <c:v>2.8080666986898697</c:v>
                      </c:pt>
                      <c:pt idx="717">
                        <c:v>2.812231127907781</c:v>
                      </c:pt>
                      <c:pt idx="718">
                        <c:v>2.8163865706929698</c:v>
                      </c:pt>
                      <c:pt idx="719">
                        <c:v>2.8205329866707984</c:v>
                      </c:pt>
                      <c:pt idx="720">
                        <c:v>2.8246703354666249</c:v>
                      </c:pt>
                      <c:pt idx="721">
                        <c:v>2.8287985767058106</c:v>
                      </c:pt>
                      <c:pt idx="722">
                        <c:v>2.8329176700137149</c:v>
                      </c:pt>
                      <c:pt idx="723">
                        <c:v>2.8370275750156972</c:v>
                      </c:pt>
                      <c:pt idx="724">
                        <c:v>2.8411282513371181</c:v>
                      </c:pt>
                      <c:pt idx="725">
                        <c:v>2.8452196586033383</c:v>
                      </c:pt>
                      <c:pt idx="726">
                        <c:v>2.8493017564397167</c:v>
                      </c:pt>
                      <c:pt idx="727">
                        <c:v>2.8533745044716143</c:v>
                      </c:pt>
                      <c:pt idx="728">
                        <c:v>2.8574378623243906</c:v>
                      </c:pt>
                      <c:pt idx="729">
                        <c:v>2.8614917896234058</c:v>
                      </c:pt>
                      <c:pt idx="730">
                        <c:v>2.8655362459940186</c:v>
                      </c:pt>
                      <c:pt idx="731">
                        <c:v>2.8695711910615911</c:v>
                      </c:pt>
                      <c:pt idx="732">
                        <c:v>2.8735965844514824</c:v>
                      </c:pt>
                      <c:pt idx="733">
                        <c:v>2.8776123857890532</c:v>
                      </c:pt>
                      <c:pt idx="734">
                        <c:v>2.8816185546996618</c:v>
                      </c:pt>
                      <c:pt idx="735">
                        <c:v>2.8856150508086698</c:v>
                      </c:pt>
                      <c:pt idx="736">
                        <c:v>2.8896018337414375</c:v>
                      </c:pt>
                      <c:pt idx="737">
                        <c:v>2.8935788631233228</c:v>
                      </c:pt>
                      <c:pt idx="738">
                        <c:v>2.8975460985796877</c:v>
                      </c:pt>
                      <c:pt idx="739">
                        <c:v>2.9015034997358917</c:v>
                      </c:pt>
                      <c:pt idx="740">
                        <c:v>2.9054510262172952</c:v>
                      </c:pt>
                      <c:pt idx="741">
                        <c:v>2.9093886376492568</c:v>
                      </c:pt>
                      <c:pt idx="742">
                        <c:v>2.9133162936571382</c:v>
                      </c:pt>
                      <c:pt idx="743">
                        <c:v>2.9172339538662984</c:v>
                      </c:pt>
                      <c:pt idx="744">
                        <c:v>2.9211415779020973</c:v>
                      </c:pt>
                      <c:pt idx="745">
                        <c:v>2.9250391253898962</c:v>
                      </c:pt>
                      <c:pt idx="746">
                        <c:v>2.9289265559550541</c:v>
                      </c:pt>
                      <c:pt idx="747">
                        <c:v>2.9328038292229315</c:v>
                      </c:pt>
                      <c:pt idx="748">
                        <c:v>2.9366709048188877</c:v>
                      </c:pt>
                      <c:pt idx="749">
                        <c:v>2.9405277423682832</c:v>
                      </c:pt>
                      <c:pt idx="750">
                        <c:v>2.9443743014964783</c:v>
                      </c:pt>
                      <c:pt idx="751">
                        <c:v>2.9482105418288325</c:v>
                      </c:pt>
                      <c:pt idx="752">
                        <c:v>2.9520364229907052</c:v>
                      </c:pt>
                      <c:pt idx="753">
                        <c:v>2.9558519046074592</c:v>
                      </c:pt>
                      <c:pt idx="754">
                        <c:v>2.9596569463044511</c:v>
                      </c:pt>
                      <c:pt idx="755">
                        <c:v>2.9634515077070431</c:v>
                      </c:pt>
                      <c:pt idx="756">
                        <c:v>2.9672355484405939</c:v>
                      </c:pt>
                      <c:pt idx="757">
                        <c:v>2.9710090281304646</c:v>
                      </c:pt>
                      <c:pt idx="758">
                        <c:v>2.9747719064020153</c:v>
                      </c:pt>
                      <c:pt idx="759">
                        <c:v>2.9785241428806044</c:v>
                      </c:pt>
                      <c:pt idx="760">
                        <c:v>2.9822656971915942</c:v>
                      </c:pt>
                      <c:pt idx="761">
                        <c:v>2.9859965289603432</c:v>
                      </c:pt>
                      <c:pt idx="762">
                        <c:v>2.9897165978122109</c:v>
                      </c:pt>
                      <c:pt idx="763">
                        <c:v>2.9934258633725594</c:v>
                      </c:pt>
                      <c:pt idx="764">
                        <c:v>2.9971242852667475</c:v>
                      </c:pt>
                      <c:pt idx="765">
                        <c:v>3.0008118231201348</c:v>
                      </c:pt>
                      <c:pt idx="766">
                        <c:v>3.004488436558082</c:v>
                      </c:pt>
                      <c:pt idx="767">
                        <c:v>3.0081540852059483</c:v>
                      </c:pt>
                      <c:pt idx="768">
                        <c:v>3.0118087286890951</c:v>
                      </c:pt>
                      <c:pt idx="769">
                        <c:v>3.0154523266328819</c:v>
                      </c:pt>
                      <c:pt idx="770">
                        <c:v>3.0190848386626676</c:v>
                      </c:pt>
                      <c:pt idx="771">
                        <c:v>3.0227062244038141</c:v>
                      </c:pt>
                      <c:pt idx="772">
                        <c:v>3.0263164434816794</c:v>
                      </c:pt>
                      <c:pt idx="773">
                        <c:v>3.0299154555216257</c:v>
                      </c:pt>
                      <c:pt idx="774">
                        <c:v>3.0335032201490115</c:v>
                      </c:pt>
                      <c:pt idx="775">
                        <c:v>3.0370796969891964</c:v>
                      </c:pt>
                      <c:pt idx="776">
                        <c:v>3.0406448456675426</c:v>
                      </c:pt>
                      <c:pt idx="777">
                        <c:v>3.0441986258094076</c:v>
                      </c:pt>
                      <c:pt idx="778">
                        <c:v>3.0477409970401537</c:v>
                      </c:pt>
                      <c:pt idx="779">
                        <c:v>3.0512719189851394</c:v>
                      </c:pt>
                      <c:pt idx="780">
                        <c:v>3.0547913512697251</c:v>
                      </c:pt>
                      <c:pt idx="781">
                        <c:v>3.0582992535192703</c:v>
                      </c:pt>
                      <c:pt idx="782">
                        <c:v>3.0617955853591363</c:v>
                      </c:pt>
                      <c:pt idx="783">
                        <c:v>3.0652803064146816</c:v>
                      </c:pt>
                      <c:pt idx="784">
                        <c:v>3.068753376311268</c:v>
                      </c:pt>
                      <c:pt idx="785">
                        <c:v>3.0722147546742544</c:v>
                      </c:pt>
                      <c:pt idx="786">
                        <c:v>3.0756644011290013</c:v>
                      </c:pt>
                      <c:pt idx="787">
                        <c:v>3.0791022753008681</c:v>
                      </c:pt>
                      <c:pt idx="788">
                        <c:v>3.0825283368152148</c:v>
                      </c:pt>
                      <c:pt idx="789">
                        <c:v>3.0859425452974021</c:v>
                      </c:pt>
                      <c:pt idx="790">
                        <c:v>3.08934486037279</c:v>
                      </c:pt>
                      <c:pt idx="791">
                        <c:v>3.0927352416667375</c:v>
                      </c:pt>
                      <c:pt idx="792">
                        <c:v>3.0961136488046064</c:v>
                      </c:pt>
                      <c:pt idx="793">
                        <c:v>3.0994800414117547</c:v>
                      </c:pt>
                      <c:pt idx="794">
                        <c:v>3.1028343791135442</c:v>
                      </c:pt>
                      <c:pt idx="795">
                        <c:v>3.106176621535333</c:v>
                      </c:pt>
                      <c:pt idx="796">
                        <c:v>3.1095067283024829</c:v>
                      </c:pt>
                      <c:pt idx="797">
                        <c:v>3.1128246590403537</c:v>
                      </c:pt>
                      <c:pt idx="798">
                        <c:v>3.1161303733743044</c:v>
                      </c:pt>
                      <c:pt idx="799">
                        <c:v>3.1194238309296964</c:v>
                      </c:pt>
                      <c:pt idx="800">
                        <c:v>3.1227049913318883</c:v>
                      </c:pt>
                      <c:pt idx="801">
                        <c:v>3.1259738142062412</c:v>
                      </c:pt>
                      <c:pt idx="802">
                        <c:v>3.1292302591781143</c:v>
                      </c:pt>
                      <c:pt idx="803">
                        <c:v>3.1324742858728678</c:v>
                      </c:pt>
                      <c:pt idx="804">
                        <c:v>3.1357058539158627</c:v>
                      </c:pt>
                      <c:pt idx="805">
                        <c:v>3.1389249229324578</c:v>
                      </c:pt>
                      <c:pt idx="806">
                        <c:v>3.1421314525480142</c:v>
                      </c:pt>
                      <c:pt idx="807">
                        <c:v>3.1453254023878898</c:v>
                      </c:pt>
                      <c:pt idx="808">
                        <c:v>3.1485067320774478</c:v>
                      </c:pt>
                      <c:pt idx="809">
                        <c:v>3.1516754012420458</c:v>
                      </c:pt>
                      <c:pt idx="810">
                        <c:v>3.1548313695070456</c:v>
                      </c:pt>
                      <c:pt idx="811">
                        <c:v>3.1579745964978052</c:v>
                      </c:pt>
                      <c:pt idx="812">
                        <c:v>3.161105041839686</c:v>
                      </c:pt>
                      <c:pt idx="813">
                        <c:v>3.1642226651580478</c:v>
                      </c:pt>
                      <c:pt idx="814">
                        <c:v>3.1673274260782502</c:v>
                      </c:pt>
                      <c:pt idx="815">
                        <c:v>3.1704192842256536</c:v>
                      </c:pt>
                      <c:pt idx="816">
                        <c:v>3.1734981992256186</c:v>
                      </c:pt>
                      <c:pt idx="817">
                        <c:v>3.176564130703504</c:v>
                      </c:pt>
                      <c:pt idx="818">
                        <c:v>3.17961703828467</c:v>
                      </c:pt>
                      <c:pt idx="819">
                        <c:v>3.182656881594478</c:v>
                      </c:pt>
                      <c:pt idx="820">
                        <c:v>3.1856836202582857</c:v>
                      </c:pt>
                      <c:pt idx="821">
                        <c:v>3.188697213901456</c:v>
                      </c:pt>
                      <c:pt idx="822">
                        <c:v>3.1916976221493467</c:v>
                      </c:pt>
                      <c:pt idx="823">
                        <c:v>3.1946848046273191</c:v>
                      </c:pt>
                      <c:pt idx="824">
                        <c:v>3.1976587209607317</c:v>
                      </c:pt>
                      <c:pt idx="825">
                        <c:v>3.2006193307749458</c:v>
                      </c:pt>
                      <c:pt idx="826">
                        <c:v>3.2035665936953213</c:v>
                      </c:pt>
                      <c:pt idx="827">
                        <c:v>3.2065004693472181</c:v>
                      </c:pt>
                      <c:pt idx="828">
                        <c:v>3.2094209173559962</c:v>
                      </c:pt>
                      <c:pt idx="829">
                        <c:v>3.2123278973470155</c:v>
                      </c:pt>
                      <c:pt idx="830">
                        <c:v>3.2152213689456359</c:v>
                      </c:pt>
                      <c:pt idx="831">
                        <c:v>3.2181012917772178</c:v>
                      </c:pt>
                      <c:pt idx="832">
                        <c:v>3.2209676254671211</c:v>
                      </c:pt>
                      <c:pt idx="833">
                        <c:v>3.2238203296407062</c:v>
                      </c:pt>
                      <c:pt idx="834">
                        <c:v>3.2266593639233321</c:v>
                      </c:pt>
                      <c:pt idx="835">
                        <c:v>3.2294846879403591</c:v>
                      </c:pt>
                      <c:pt idx="836">
                        <c:v>3.2322962613171491</c:v>
                      </c:pt>
                      <c:pt idx="837">
                        <c:v>3.2350940436790596</c:v>
                      </c:pt>
                      <c:pt idx="838">
                        <c:v>3.2378779946514511</c:v>
                      </c:pt>
                      <c:pt idx="839">
                        <c:v>3.2406480738596848</c:v>
                      </c:pt>
                      <c:pt idx="840">
                        <c:v>3.2434042409291202</c:v>
                      </c:pt>
                      <c:pt idx="841">
                        <c:v>3.2461464554851167</c:v>
                      </c:pt>
                      <c:pt idx="842">
                        <c:v>3.2488746771530348</c:v>
                      </c:pt>
                      <c:pt idx="843">
                        <c:v>3.2515888655582348</c:v>
                      </c:pt>
                      <c:pt idx="844">
                        <c:v>3.2542889803260771</c:v>
                      </c:pt>
                      <c:pt idx="845">
                        <c:v>3.2569749810819202</c:v>
                      </c:pt>
                      <c:pt idx="846">
                        <c:v>3.2596468274511254</c:v>
                      </c:pt>
                      <c:pt idx="847">
                        <c:v>3.2623044790590519</c:v>
                      </c:pt>
                      <c:pt idx="848">
                        <c:v>3.2649478955310602</c:v>
                      </c:pt>
                      <c:pt idx="849">
                        <c:v>3.2675770364925114</c:v>
                      </c:pt>
                      <c:pt idx="850">
                        <c:v>3.2701918615687635</c:v>
                      </c:pt>
                      <c:pt idx="851">
                        <c:v>3.2727923303851769</c:v>
                      </c:pt>
                      <c:pt idx="852">
                        <c:v>3.2753784025671129</c:v>
                      </c:pt>
                      <c:pt idx="853">
                        <c:v>3.2779500377399309</c:v>
                      </c:pt>
                      <c:pt idx="854">
                        <c:v>3.2805071955289904</c:v>
                      </c:pt>
                      <c:pt idx="855">
                        <c:v>3.2830498355596527</c:v>
                      </c:pt>
                      <c:pt idx="856">
                        <c:v>3.2855779174572763</c:v>
                      </c:pt>
                      <c:pt idx="857">
                        <c:v>3.2880914008472217</c:v>
                      </c:pt>
                      <c:pt idx="858">
                        <c:v>3.2905902453548492</c:v>
                      </c:pt>
                      <c:pt idx="859">
                        <c:v>3.2930744106055192</c:v>
                      </c:pt>
                      <c:pt idx="860">
                        <c:v>3.2955438562245911</c:v>
                      </c:pt>
                      <c:pt idx="861">
                        <c:v>3.2979985418374245</c:v>
                      </c:pt>
                      <c:pt idx="862">
                        <c:v>3.3004384270693814</c:v>
                      </c:pt>
                      <c:pt idx="863">
                        <c:v>3.3028634715458187</c:v>
                      </c:pt>
                      <c:pt idx="864">
                        <c:v>3.3052736348920995</c:v>
                      </c:pt>
                      <c:pt idx="865">
                        <c:v>3.3076688767335813</c:v>
                      </c:pt>
                      <c:pt idx="866">
                        <c:v>3.3100491566956265</c:v>
                      </c:pt>
                      <c:pt idx="867">
                        <c:v>3.312414434403594</c:v>
                      </c:pt>
                      <c:pt idx="868">
                        <c:v>3.3147646694828428</c:v>
                      </c:pt>
                      <c:pt idx="869">
                        <c:v>3.3170998215587351</c:v>
                      </c:pt>
                      <c:pt idx="870">
                        <c:v>3.3194198502566286</c:v>
                      </c:pt>
                      <c:pt idx="871">
                        <c:v>3.3217247152018845</c:v>
                      </c:pt>
                      <c:pt idx="872">
                        <c:v>3.3240143760198633</c:v>
                      </c:pt>
                      <c:pt idx="873">
                        <c:v>3.3262887923359243</c:v>
                      </c:pt>
                      <c:pt idx="874">
                        <c:v>3.3285479237754276</c:v>
                      </c:pt>
                      <c:pt idx="875">
                        <c:v>3.3307917299637335</c:v>
                      </c:pt>
                      <c:pt idx="876">
                        <c:v>3.3330201705262024</c:v>
                      </c:pt>
                      <c:pt idx="877">
                        <c:v>3.3352332050881928</c:v>
                      </c:pt>
                      <c:pt idx="878">
                        <c:v>3.337430793275066</c:v>
                      </c:pt>
                      <c:pt idx="879">
                        <c:v>3.3396128947121824</c:v>
                      </c:pt>
                      <c:pt idx="880">
                        <c:v>3.3417794690249005</c:v>
                      </c:pt>
                      <c:pt idx="881">
                        <c:v>3.3439304758385822</c:v>
                      </c:pt>
                      <c:pt idx="882">
                        <c:v>3.3460658747785859</c:v>
                      </c:pt>
                      <c:pt idx="883">
                        <c:v>3.3481856254702724</c:v>
                      </c:pt>
                      <c:pt idx="884">
                        <c:v>3.3502896875390009</c:v>
                      </c:pt>
                      <c:pt idx="885">
                        <c:v>3.352378020610133</c:v>
                      </c:pt>
                      <c:pt idx="886">
                        <c:v>3.3544505843090278</c:v>
                      </c:pt>
                      <c:pt idx="887">
                        <c:v>3.3565073382610446</c:v>
                      </c:pt>
                      <c:pt idx="888">
                        <c:v>3.3585482420915453</c:v>
                      </c:pt>
                      <c:pt idx="889">
                        <c:v>3.3605732554258876</c:v>
                      </c:pt>
                      <c:pt idx="890">
                        <c:v>3.3625823378894335</c:v>
                      </c:pt>
                      <c:pt idx="891">
                        <c:v>3.3645754491075417</c:v>
                      </c:pt>
                      <c:pt idx="892">
                        <c:v>3.3665525487055739</c:v>
                      </c:pt>
                      <c:pt idx="893">
                        <c:v>3.3685135963088877</c:v>
                      </c:pt>
                      <c:pt idx="894">
                        <c:v>3.3704585515428445</c:v>
                      </c:pt>
                      <c:pt idx="895">
                        <c:v>3.372387374032805</c:v>
                      </c:pt>
                      <c:pt idx="896">
                        <c:v>3.3743000234041283</c:v>
                      </c:pt>
                      <c:pt idx="897">
                        <c:v>3.3761964592821747</c:v>
                      </c:pt>
                      <c:pt idx="898">
                        <c:v>3.3780766412923038</c:v>
                      </c:pt>
                      <c:pt idx="899">
                        <c:v>3.3799405290598763</c:v>
                      </c:pt>
                      <c:pt idx="900">
                        <c:v>3.3817880822102517</c:v>
                      </c:pt>
                      <c:pt idx="901">
                        <c:v>3.3836192603687896</c:v>
                      </c:pt>
                      <c:pt idx="902">
                        <c:v>3.3854340231608515</c:v>
                      </c:pt>
                      <c:pt idx="903">
                        <c:v>3.3872323302117966</c:v>
                      </c:pt>
                      <c:pt idx="904">
                        <c:v>3.3890141411469843</c:v>
                      </c:pt>
                      <c:pt idx="905">
                        <c:v>3.390779415591775</c:v>
                      </c:pt>
                      <c:pt idx="906">
                        <c:v>3.3925281131715295</c:v>
                      </c:pt>
                      <c:pt idx="907">
                        <c:v>3.3942601935116072</c:v>
                      </c:pt>
                      <c:pt idx="908">
                        <c:v>3.3959756162373682</c:v>
                      </c:pt>
                      <c:pt idx="909">
                        <c:v>3.3976743409741728</c:v>
                      </c:pt>
                      <c:pt idx="910">
                        <c:v>3.3993563273473799</c:v>
                      </c:pt>
                      <c:pt idx="911">
                        <c:v>3.4010215349823505</c:v>
                      </c:pt>
                      <c:pt idx="912">
                        <c:v>3.4026699235044449</c:v>
                      </c:pt>
                      <c:pt idx="913">
                        <c:v>3.4043014525390221</c:v>
                      </c:pt>
                      <c:pt idx="914">
                        <c:v>3.4059160817114433</c:v>
                      </c:pt>
                      <c:pt idx="915">
                        <c:v>3.4075137706470682</c:v>
                      </c:pt>
                      <c:pt idx="916">
                        <c:v>3.4090944789712561</c:v>
                      </c:pt>
                      <c:pt idx="917">
                        <c:v>3.4106581663093682</c:v>
                      </c:pt>
                      <c:pt idx="918">
                        <c:v>3.4122047922867629</c:v>
                      </c:pt>
                      <c:pt idx="919">
                        <c:v>3.4137343165288017</c:v>
                      </c:pt>
                      <c:pt idx="920">
                        <c:v>3.4152466986608432</c:v>
                      </c:pt>
                      <c:pt idx="921">
                        <c:v>3.4167418983082496</c:v>
                      </c:pt>
                      <c:pt idx="922">
                        <c:v>3.418219875096379</c:v>
                      </c:pt>
                      <c:pt idx="923">
                        <c:v>3.4196805886505919</c:v>
                      </c:pt>
                      <c:pt idx="924">
                        <c:v>3.4211239985962489</c:v>
                      </c:pt>
                      <c:pt idx="925">
                        <c:v>3.4225500645587097</c:v>
                      </c:pt>
                      <c:pt idx="926">
                        <c:v>3.4239587461633336</c:v>
                      </c:pt>
                      <c:pt idx="927">
                        <c:v>3.4253500030354815</c:v>
                      </c:pt>
                      <c:pt idx="928">
                        <c:v>3.4267237948005134</c:v>
                      </c:pt>
                      <c:pt idx="929">
                        <c:v>3.428080081083789</c:v>
                      </c:pt>
                      <c:pt idx="930">
                        <c:v>3.4294188215106689</c:v>
                      </c:pt>
                      <c:pt idx="931">
                        <c:v>3.430739975706512</c:v>
                      </c:pt>
                      <c:pt idx="932">
                        <c:v>3.4320435032966787</c:v>
                      </c:pt>
                      <c:pt idx="933">
                        <c:v>3.4333293639065303</c:v>
                      </c:pt>
                      <c:pt idx="934">
                        <c:v>3.4345975171614254</c:v>
                      </c:pt>
                      <c:pt idx="935">
                        <c:v>3.4358479226867247</c:v>
                      </c:pt>
                      <c:pt idx="936">
                        <c:v>3.4370805401077869</c:v>
                      </c:pt>
                      <c:pt idx="937">
                        <c:v>3.438295329049974</c:v>
                      </c:pt>
                      <c:pt idx="938">
                        <c:v>3.4394922491386453</c:v>
                      </c:pt>
                      <c:pt idx="939">
                        <c:v>3.44067125999916</c:v>
                      </c:pt>
                      <c:pt idx="940">
                        <c:v>3.4418323212568795</c:v>
                      </c:pt>
                      <c:pt idx="941">
                        <c:v>3.4429753925371633</c:v>
                      </c:pt>
                      <c:pt idx="942">
                        <c:v>3.44410043346537</c:v>
                      </c:pt>
                      <c:pt idx="943">
                        <c:v>3.4452074036668616</c:v>
                      </c:pt>
                      <c:pt idx="944">
                        <c:v>3.4462962627669977</c:v>
                      </c:pt>
                      <c:pt idx="945">
                        <c:v>3.4473669703911374</c:v>
                      </c:pt>
                      <c:pt idx="946">
                        <c:v>3.4484194861646418</c:v>
                      </c:pt>
                      <c:pt idx="947">
                        <c:v>3.4494537697128704</c:v>
                      </c:pt>
                      <c:pt idx="948">
                        <c:v>3.4504697806611833</c:v>
                      </c:pt>
                      <c:pt idx="949">
                        <c:v>3.4514674786349406</c:v>
                      </c:pt>
                      <c:pt idx="950">
                        <c:v>3.4524468232595016</c:v>
                      </c:pt>
                      <c:pt idx="951">
                        <c:v>3.4534077741602269</c:v>
                      </c:pt>
                      <c:pt idx="952">
                        <c:v>3.4543502909624779</c:v>
                      </c:pt>
                      <c:pt idx="953">
                        <c:v>3.4552743332916123</c:v>
                      </c:pt>
                      <c:pt idx="954">
                        <c:v>3.4561798607729908</c:v>
                      </c:pt>
                      <c:pt idx="955">
                        <c:v>3.4570668330319747</c:v>
                      </c:pt>
                      <c:pt idx="956">
                        <c:v>3.4579352096939227</c:v>
                      </c:pt>
                      <c:pt idx="957">
                        <c:v>3.4587849503841954</c:v>
                      </c:pt>
                      <c:pt idx="958">
                        <c:v>3.4596160147281525</c:v>
                      </c:pt>
                      <c:pt idx="959">
                        <c:v>3.4604283623511543</c:v>
                      </c:pt>
                      <c:pt idx="960">
                        <c:v>3.4612219528785606</c:v>
                      </c:pt>
                      <c:pt idx="961">
                        <c:v>3.461996745935731</c:v>
                      </c:pt>
                      <c:pt idx="962">
                        <c:v>3.4627527011480268</c:v>
                      </c:pt>
                      <c:pt idx="963">
                        <c:v>3.4634897781408065</c:v>
                      </c:pt>
                      <c:pt idx="964">
                        <c:v>3.4642079365394318</c:v>
                      </c:pt>
                      <c:pt idx="965">
                        <c:v>3.4649071359692614</c:v>
                      </c:pt>
                      <c:pt idx="966">
                        <c:v>3.4655873360556555</c:v>
                      </c:pt>
                      <c:pt idx="967">
                        <c:v>3.4662484964239741</c:v>
                      </c:pt>
                      <c:pt idx="968">
                        <c:v>3.4668905766995777</c:v>
                      </c:pt>
                      <c:pt idx="969">
                        <c:v>3.4675135365078269</c:v>
                      </c:pt>
                      <c:pt idx="970">
                        <c:v>3.4681173354740804</c:v>
                      </c:pt>
                      <c:pt idx="971">
                        <c:v>3.468701933223699</c:v>
                      </c:pt>
                      <c:pt idx="972">
                        <c:v>3.4692672893820422</c:v>
                      </c:pt>
                      <c:pt idx="973">
                        <c:v>3.4698133635744708</c:v>
                      </c:pt>
                      <c:pt idx="974">
                        <c:v>3.4703401154263438</c:v>
                      </c:pt>
                      <c:pt idx="975">
                        <c:v>3.4708475045630216</c:v>
                      </c:pt>
                      <c:pt idx="976">
                        <c:v>3.4713354906098641</c:v>
                      </c:pt>
                      <c:pt idx="977">
                        <c:v>3.4718040331922326</c:v>
                      </c:pt>
                      <c:pt idx="978">
                        <c:v>3.4722530919354857</c:v>
                      </c:pt>
                      <c:pt idx="979">
                        <c:v>3.4726826264649842</c:v>
                      </c:pt>
                      <c:pt idx="980">
                        <c:v>3.4730925964060875</c:v>
                      </c:pt>
                      <c:pt idx="981">
                        <c:v>3.473482961384156</c:v>
                      </c:pt>
                      <c:pt idx="982">
                        <c:v>3.4738536810245493</c:v>
                      </c:pt>
                      <c:pt idx="983">
                        <c:v>3.4742047149526281</c:v>
                      </c:pt>
                      <c:pt idx="984">
                        <c:v>3.4745360227937518</c:v>
                      </c:pt>
                      <c:pt idx="985">
                        <c:v>3.4748475641732814</c:v>
                      </c:pt>
                      <c:pt idx="986">
                        <c:v>3.4751392987165755</c:v>
                      </c:pt>
                      <c:pt idx="987">
                        <c:v>3.4754111860489951</c:v>
                      </c:pt>
                      <c:pt idx="988">
                        <c:v>3.4756631857959008</c:v>
                      </c:pt>
                      <c:pt idx="989">
                        <c:v>3.4758952575826507</c:v>
                      </c:pt>
                      <c:pt idx="990">
                        <c:v>3.4761073610346065</c:v>
                      </c:pt>
                      <c:pt idx="991">
                        <c:v>3.4762994557771276</c:v>
                      </c:pt>
                      <c:pt idx="992">
                        <c:v>3.4764715014355736</c:v>
                      </c:pt>
                      <c:pt idx="993">
                        <c:v>3.4766234576353057</c:v>
                      </c:pt>
                      <c:pt idx="994">
                        <c:v>3.4767552840016829</c:v>
                      </c:pt>
                      <c:pt idx="995">
                        <c:v>3.4768669401600656</c:v>
                      </c:pt>
                      <c:pt idx="996">
                        <c:v>3.4769583857358137</c:v>
                      </c:pt>
                      <c:pt idx="997">
                        <c:v>3.4770295803542877</c:v>
                      </c:pt>
                      <c:pt idx="998">
                        <c:v>3.4770804836408473</c:v>
                      </c:pt>
                      <c:pt idx="999">
                        <c:v>3.4771110552208522</c:v>
                      </c:pt>
                      <c:pt idx="1000">
                        <c:v>3.4771212547196626</c:v>
                      </c:pt>
                      <c:pt idx="1001">
                        <c:v>3.4771212547196626</c:v>
                      </c:pt>
                      <c:pt idx="1002">
                        <c:v>3.4771212547196626</c:v>
                      </c:pt>
                      <c:pt idx="1003">
                        <c:v>3.4771212547196626</c:v>
                      </c:pt>
                      <c:pt idx="1004">
                        <c:v>3.4771212547196626</c:v>
                      </c:pt>
                      <c:pt idx="1005">
                        <c:v>3.4771212547196626</c:v>
                      </c:pt>
                      <c:pt idx="1006">
                        <c:v>3.4771212547196626</c:v>
                      </c:pt>
                      <c:pt idx="1007">
                        <c:v>3.4771212547196626</c:v>
                      </c:pt>
                      <c:pt idx="1008">
                        <c:v>3.4771212547196626</c:v>
                      </c:pt>
                      <c:pt idx="1009">
                        <c:v>3.4771212547196626</c:v>
                      </c:pt>
                      <c:pt idx="1010">
                        <c:v>3.4771212547196626</c:v>
                      </c:pt>
                      <c:pt idx="1011">
                        <c:v>3.4771212547196626</c:v>
                      </c:pt>
                      <c:pt idx="1012">
                        <c:v>3.4771212547196626</c:v>
                      </c:pt>
                      <c:pt idx="1013">
                        <c:v>3.4771212547196626</c:v>
                      </c:pt>
                      <c:pt idx="1014">
                        <c:v>3.4771212547196626</c:v>
                      </c:pt>
                      <c:pt idx="1015">
                        <c:v>3.4771212547196626</c:v>
                      </c:pt>
                      <c:pt idx="1016">
                        <c:v>3.4771212547196626</c:v>
                      </c:pt>
                      <c:pt idx="1017">
                        <c:v>3.4771212547196626</c:v>
                      </c:pt>
                      <c:pt idx="1018">
                        <c:v>3.4771212547196626</c:v>
                      </c:pt>
                      <c:pt idx="1019">
                        <c:v>3.4771212547196626</c:v>
                      </c:pt>
                      <c:pt idx="1020">
                        <c:v>3.4771212547196626</c:v>
                      </c:pt>
                      <c:pt idx="1021">
                        <c:v>3.4771212547196626</c:v>
                      </c:pt>
                      <c:pt idx="1022">
                        <c:v>3.4771212547196626</c:v>
                      </c:pt>
                      <c:pt idx="1023">
                        <c:v>3.4771212547196626</c:v>
                      </c:pt>
                      <c:pt idx="1024">
                        <c:v>3.4771212547196626</c:v>
                      </c:pt>
                      <c:pt idx="1025">
                        <c:v>3.4771212547196626</c:v>
                      </c:pt>
                      <c:pt idx="1026">
                        <c:v>3.4771212547196626</c:v>
                      </c:pt>
                      <c:pt idx="1027">
                        <c:v>3.4771212547196626</c:v>
                      </c:pt>
                      <c:pt idx="1028">
                        <c:v>3.4771212547196626</c:v>
                      </c:pt>
                      <c:pt idx="1029">
                        <c:v>3.4771212547196626</c:v>
                      </c:pt>
                      <c:pt idx="1030">
                        <c:v>3.4771212547196626</c:v>
                      </c:pt>
                      <c:pt idx="1031">
                        <c:v>3.4771212547196626</c:v>
                      </c:pt>
                      <c:pt idx="1032">
                        <c:v>3.4771212547196626</c:v>
                      </c:pt>
                      <c:pt idx="1033">
                        <c:v>3.4771212547196626</c:v>
                      </c:pt>
                      <c:pt idx="1034">
                        <c:v>3.4771212547196626</c:v>
                      </c:pt>
                      <c:pt idx="1035">
                        <c:v>3.4771212547196626</c:v>
                      </c:pt>
                      <c:pt idx="1036">
                        <c:v>3.4771212547196626</c:v>
                      </c:pt>
                      <c:pt idx="1037">
                        <c:v>3.4771212547196626</c:v>
                      </c:pt>
                      <c:pt idx="1038">
                        <c:v>3.4771212547196626</c:v>
                      </c:pt>
                      <c:pt idx="1039">
                        <c:v>3.4771212547196626</c:v>
                      </c:pt>
                      <c:pt idx="1040">
                        <c:v>3.4771212547196626</c:v>
                      </c:pt>
                      <c:pt idx="1041">
                        <c:v>3.4771212547196626</c:v>
                      </c:pt>
                      <c:pt idx="1042">
                        <c:v>3.4771212547196626</c:v>
                      </c:pt>
                      <c:pt idx="1043">
                        <c:v>3.4771212547196626</c:v>
                      </c:pt>
                      <c:pt idx="1044">
                        <c:v>3.4771212547196626</c:v>
                      </c:pt>
                      <c:pt idx="1045">
                        <c:v>3.4771212547196626</c:v>
                      </c:pt>
                      <c:pt idx="1046">
                        <c:v>3.4771212547196626</c:v>
                      </c:pt>
                      <c:pt idx="1047">
                        <c:v>3.4771212547196626</c:v>
                      </c:pt>
                      <c:pt idx="1048">
                        <c:v>3.4771212547196626</c:v>
                      </c:pt>
                      <c:pt idx="1049">
                        <c:v>3.4771212547196626</c:v>
                      </c:pt>
                      <c:pt idx="1050">
                        <c:v>3.4771212547196626</c:v>
                      </c:pt>
                    </c:numCache>
                  </c:numRef>
                </c:yVal>
                <c:smooth val="1"/>
                <c:extLst>
                  <c:ext xmlns:c16="http://schemas.microsoft.com/office/drawing/2014/chart" uri="{C3380CC4-5D6E-409C-BE32-E72D297353CC}">
                    <c16:uniqueId val="{00000007-6DD0-4CDA-8DBE-7DBB2D671E03}"/>
                  </c:ext>
                </c:extLst>
              </c15:ser>
            </c15:filteredScatterSeries>
          </c:ext>
        </c:extLst>
      </c:scatterChart>
      <c:valAx>
        <c:axId val="1292577295"/>
        <c:scaling>
          <c:orientation val="minMax"/>
          <c:max val="100"/>
        </c:scaling>
        <c:delete val="0"/>
        <c:axPos val="b"/>
        <c:majorGridlines>
          <c:spPr>
            <a:ln>
              <a:solidFill>
                <a:schemeClr val="bg1">
                  <a:lumMod val="95000"/>
                </a:schemeClr>
              </a:solidFill>
            </a:ln>
            <a:effectLst/>
          </c:spPr>
        </c:majorGridlines>
        <c:title>
          <c:tx>
            <c:rich>
              <a:bodyPr/>
              <a:lstStyle/>
              <a:p>
                <a:pPr>
                  <a:defRPr/>
                </a:pPr>
                <a:r>
                  <a:rPr lang="en-GB"/>
                  <a:t>t (years)</a:t>
                </a:r>
              </a:p>
              <a:p>
                <a:pPr>
                  <a:defRPr/>
                </a:pPr>
                <a:endParaRPr lang="en-GB"/>
              </a:p>
            </c:rich>
          </c:tx>
          <c:overlay val="0"/>
        </c:title>
        <c:numFmt formatCode="General" sourceLinked="1"/>
        <c:majorTickMark val="in"/>
        <c:minorTickMark val="in"/>
        <c:tickLblPos val="low"/>
        <c:spPr>
          <a:noFill/>
          <a:ln w="9525" cap="flat" cmpd="sng" algn="ctr">
            <a:solidFill>
              <a:schemeClr val="bg1">
                <a:lumMod val="50000"/>
              </a:schemeClr>
            </a:solidFill>
            <a:round/>
          </a:ln>
          <a:effectLst/>
        </c:spPr>
        <c:txPr>
          <a:bodyPr rot="0" spcFirstLastPara="1" vertOverflow="ellipsis" vert="horz" wrap="square" anchor="b" anchorCtr="0"/>
          <a:lstStyle/>
          <a:p>
            <a:pPr>
              <a:defRPr sz="900" b="0" i="0" u="none" strike="noStrike" kern="1200" baseline="0">
                <a:solidFill>
                  <a:sysClr val="windowText" lastClr="000000"/>
                </a:solidFill>
                <a:latin typeface="+mn-lt"/>
                <a:ea typeface="+mn-ea"/>
                <a:cs typeface="+mn-cs"/>
              </a:defRPr>
            </a:pPr>
            <a:endParaRPr lang="en-US"/>
          </a:p>
        </c:txPr>
        <c:crossAx val="1296221023"/>
        <c:crosses val="autoZero"/>
        <c:crossBetween val="midCat"/>
      </c:valAx>
      <c:valAx>
        <c:axId val="1296221023"/>
        <c:scaling>
          <c:orientation val="minMax"/>
        </c:scaling>
        <c:delete val="0"/>
        <c:axPos val="l"/>
        <c:majorGridlines>
          <c:spPr>
            <a:ln>
              <a:solidFill>
                <a:schemeClr val="bg1">
                  <a:lumMod val="95000"/>
                </a:schemeClr>
              </a:solidFill>
            </a:ln>
            <a:effectLst/>
          </c:spPr>
        </c:majorGridlines>
        <c:title>
          <c:tx>
            <c:rich>
              <a:bodyPr/>
              <a:lstStyle/>
              <a:p>
                <a:pPr>
                  <a:defRPr/>
                </a:pPr>
                <a:r>
                  <a:rPr lang="en-GB"/>
                  <a:t>LOG(N</a:t>
                </a:r>
                <a:r>
                  <a:rPr lang="en-GB" baseline="0"/>
                  <a:t>) (# Operational Plants)</a:t>
                </a:r>
                <a:endParaRPr lang="en-GB"/>
              </a:p>
            </c:rich>
          </c:tx>
          <c:overlay val="0"/>
        </c:title>
        <c:numFmt formatCode="General" sourceLinked="1"/>
        <c:majorTickMark val="in"/>
        <c:minorTickMark val="in"/>
        <c:tickLblPos val="nextTo"/>
        <c:spPr>
          <a:noFill/>
          <a:ln w="9525" cap="flat" cmpd="sng" algn="ctr">
            <a:solidFill>
              <a:schemeClr val="bg1">
                <a:lumMod val="50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292577295"/>
        <c:crosses val="autoZero"/>
        <c:crossBetween val="midCat"/>
      </c:valAx>
      <c:spPr>
        <a:ln>
          <a:solidFill>
            <a:schemeClr val="tx1">
              <a:lumMod val="25000"/>
              <a:lumOff val="75000"/>
            </a:schemeClr>
          </a:solidFill>
        </a:ln>
      </c:spPr>
    </c:plotArea>
    <c:legend>
      <c:legendPos val="r"/>
      <c:layout>
        <c:manualLayout>
          <c:xMode val="edge"/>
          <c:yMode val="edge"/>
          <c:x val="0.72430066749957511"/>
          <c:y val="0.57660552546538624"/>
          <c:w val="0.1997636765550225"/>
          <c:h val="0.17854201750792711"/>
        </c:manualLayout>
      </c:layout>
      <c:overlay val="1"/>
      <c:spPr>
        <a:solidFill>
          <a:schemeClr val="lt1"/>
        </a:solidFill>
        <a:ln w="12700" cap="flat" cmpd="sng" algn="ctr">
          <a:solidFill>
            <a:schemeClr val="dk1"/>
          </a:solidFill>
          <a:prstDash val="solid"/>
          <a:miter lim="800000"/>
        </a:ln>
        <a:effectLst/>
      </c:spPr>
      <c:txPr>
        <a:bodyPr/>
        <a:lstStyle/>
        <a:p>
          <a:pPr>
            <a:defRPr>
              <a:solidFill>
                <a:schemeClr val="dk1"/>
              </a:solidFill>
              <a:latin typeface="+mn-lt"/>
              <a:ea typeface="+mn-ea"/>
              <a:cs typeface="+mn-cs"/>
            </a:defRPr>
          </a:pPr>
          <a:endParaRPr lang="en-US"/>
        </a:p>
      </c:txPr>
    </c:legend>
    <c:plotVisOnly val="1"/>
    <c:dispBlanksAs val="gap"/>
    <c:showDLblsOverMax val="0"/>
    <c:extLst/>
  </c:chart>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Operational plants over time (Both data entries) </a:t>
            </a:r>
            <a:endParaRPr lang="en-GB" baseline="0"/>
          </a:p>
        </c:rich>
      </c:tx>
      <c:layout>
        <c:manualLayout>
          <c:xMode val="edge"/>
          <c:yMode val="edge"/>
          <c:x val="0.17331165725090786"/>
          <c:y val="2.5946019753311182E-2"/>
        </c:manualLayout>
      </c:layout>
      <c:overlay val="0"/>
      <c:spPr>
        <a:noFill/>
        <a:ln>
          <a:noFill/>
        </a:ln>
        <a:effectLst/>
      </c:spPr>
    </c:title>
    <c:autoTitleDeleted val="0"/>
    <c:plotArea>
      <c:layout/>
      <c:scatterChart>
        <c:scatterStyle val="smoothMarker"/>
        <c:varyColors val="0"/>
        <c:ser>
          <c:idx val="1"/>
          <c:order val="3"/>
          <c:tx>
            <c:v>Log(N)</c:v>
          </c:tx>
          <c:spPr>
            <a:ln w="19050">
              <a:noFill/>
            </a:ln>
          </c:spPr>
          <c:marker>
            <c:symbol val="diamond"/>
            <c:size val="3"/>
          </c:marker>
          <c:xVal>
            <c:numRef>
              <c:f>Sheet1!$H$8:$H$1058</c:f>
              <c:numCache>
                <c:formatCode>0.0000</c:formatCode>
                <c:ptCount val="1051"/>
                <c:pt idx="0">
                  <c:v>0</c:v>
                </c:pt>
                <c:pt idx="1">
                  <c:v>3.1240806826541246E-3</c:v>
                </c:pt>
                <c:pt idx="2">
                  <c:v>6.5128994990270314E-3</c:v>
                </c:pt>
                <c:pt idx="3">
                  <c:v>1.0165942744361011E-2</c:v>
                </c:pt>
                <c:pt idx="4">
                  <c:v>1.4082696713898338E-2</c:v>
                </c:pt>
                <c:pt idx="5">
                  <c:v>1.8262647702881309E-2</c:v>
                </c:pt>
                <c:pt idx="6">
                  <c:v>2.2705282006552203E-2</c:v>
                </c:pt>
                <c:pt idx="7">
                  <c:v>2.7410085920153301E-2</c:v>
                </c:pt>
                <c:pt idx="8">
                  <c:v>3.2376545738926898E-2</c:v>
                </c:pt>
                <c:pt idx="9">
                  <c:v>3.7604147758115283E-2</c:v>
                </c:pt>
                <c:pt idx="10">
                  <c:v>4.3092378272960731E-2</c:v>
                </c:pt>
                <c:pt idx="11">
                  <c:v>4.884072357870553E-2</c:v>
                </c:pt>
                <c:pt idx="12">
                  <c:v>5.4848669970591964E-2</c:v>
                </c:pt>
                <c:pt idx="13">
                  <c:v>6.1115703743862319E-2</c:v>
                </c:pt>
                <c:pt idx="14">
                  <c:v>6.7641311193758893E-2</c:v>
                </c:pt>
                <c:pt idx="15">
                  <c:v>7.442497861552394E-2</c:v>
                </c:pt>
                <c:pt idx="16">
                  <c:v>8.1466192304399776E-2</c:v>
                </c:pt>
                <c:pt idx="17">
                  <c:v>8.8764438555628669E-2</c:v>
                </c:pt>
                <c:pt idx="18">
                  <c:v>9.6319203664452929E-2</c:v>
                </c:pt>
                <c:pt idx="19">
                  <c:v>0.10412997392611478</c:v>
                </c:pt>
                <c:pt idx="20">
                  <c:v>0.11219623563585658</c:v>
                </c:pt>
                <c:pt idx="21">
                  <c:v>0.12051747508892059</c:v>
                </c:pt>
                <c:pt idx="22">
                  <c:v>0.12909317858054906</c:v>
                </c:pt>
                <c:pt idx="23">
                  <c:v>0.13792283240598432</c:v>
                </c:pt>
                <c:pt idx="24">
                  <c:v>0.14700592286046865</c:v>
                </c:pt>
                <c:pt idx="25">
                  <c:v>0.15634193623924431</c:v>
                </c:pt>
                <c:pt idx="26">
                  <c:v>0.16593035883755361</c:v>
                </c:pt>
                <c:pt idx="27">
                  <c:v>0.1757706769506388</c:v>
                </c:pt>
                <c:pt idx="28">
                  <c:v>0.18586237687374221</c:v>
                </c:pt>
                <c:pt idx="29">
                  <c:v>0.19620494490210616</c:v>
                </c:pt>
                <c:pt idx="30">
                  <c:v>0.20679786733097277</c:v>
                </c:pt>
                <c:pt idx="31">
                  <c:v>0.21764063045558452</c:v>
                </c:pt>
                <c:pt idx="32">
                  <c:v>0.22873272057118363</c:v>
                </c:pt>
                <c:pt idx="33">
                  <c:v>0.2400736239730123</c:v>
                </c:pt>
                <c:pt idx="34">
                  <c:v>0.25166282695631287</c:v>
                </c:pt>
                <c:pt idx="35">
                  <c:v>0.26349981581632764</c:v>
                </c:pt>
                <c:pt idx="36">
                  <c:v>0.275584076848299</c:v>
                </c:pt>
                <c:pt idx="37">
                  <c:v>0.28791509634746904</c:v>
                </c:pt>
                <c:pt idx="38">
                  <c:v>0.30049236060908013</c:v>
                </c:pt>
                <c:pt idx="39">
                  <c:v>0.31331535592837456</c:v>
                </c:pt>
                <c:pt idx="40">
                  <c:v>0.32638356860059459</c:v>
                </c:pt>
                <c:pt idx="41">
                  <c:v>0.33969648492098264</c:v>
                </c:pt>
                <c:pt idx="42">
                  <c:v>0.35325359118478072</c:v>
                </c:pt>
                <c:pt idx="43">
                  <c:v>0.36705437368723143</c:v>
                </c:pt>
                <c:pt idx="44">
                  <c:v>0.3810983187235768</c:v>
                </c:pt>
                <c:pt idx="45">
                  <c:v>0.39538491258905928</c:v>
                </c:pt>
                <c:pt idx="46">
                  <c:v>0.40991364157892113</c:v>
                </c:pt>
                <c:pt idx="47">
                  <c:v>0.42468399198840445</c:v>
                </c:pt>
                <c:pt idx="48">
                  <c:v>0.4396954501127518</c:v>
                </c:pt>
                <c:pt idx="49">
                  <c:v>0.45494750224720532</c:v>
                </c:pt>
                <c:pt idx="50">
                  <c:v>0.47043963468700734</c:v>
                </c:pt>
                <c:pt idx="51">
                  <c:v>0.48617133372740007</c:v>
                </c:pt>
                <c:pt idx="52">
                  <c:v>0.50214208566362584</c:v>
                </c:pt>
                <c:pt idx="53">
                  <c:v>0.51835137679092691</c:v>
                </c:pt>
                <c:pt idx="54">
                  <c:v>0.53479869340454578</c:v>
                </c:pt>
                <c:pt idx="55">
                  <c:v>0.55148352179972437</c:v>
                </c:pt>
                <c:pt idx="56">
                  <c:v>0.56840534827170519</c:v>
                </c:pt>
                <c:pt idx="57">
                  <c:v>0.58556365911573049</c:v>
                </c:pt>
                <c:pt idx="58">
                  <c:v>0.60295794062704244</c:v>
                </c:pt>
                <c:pt idx="59">
                  <c:v>0.62058767910088364</c:v>
                </c:pt>
                <c:pt idx="60">
                  <c:v>0.63845236083249601</c:v>
                </c:pt>
                <c:pt idx="61">
                  <c:v>0.65655147211712206</c:v>
                </c:pt>
                <c:pt idx="62">
                  <c:v>0.67488449925000404</c:v>
                </c:pt>
                <c:pt idx="63">
                  <c:v>0.69345092852638401</c:v>
                </c:pt>
                <c:pt idx="64">
                  <c:v>0.71225024624150468</c:v>
                </c:pt>
                <c:pt idx="65">
                  <c:v>0.73128193869060798</c:v>
                </c:pt>
                <c:pt idx="66">
                  <c:v>0.7505454921689364</c:v>
                </c:pt>
                <c:pt idx="67">
                  <c:v>0.7700403929717321</c:v>
                </c:pt>
                <c:pt idx="68">
                  <c:v>0.78976612739423735</c:v>
                </c:pt>
                <c:pt idx="69">
                  <c:v>0.80972218173169463</c:v>
                </c:pt>
                <c:pt idx="70">
                  <c:v>0.829908042279346</c:v>
                </c:pt>
                <c:pt idx="71">
                  <c:v>0.85032319533243395</c:v>
                </c:pt>
                <c:pt idx="72">
                  <c:v>0.87096712718620062</c:v>
                </c:pt>
                <c:pt idx="73">
                  <c:v>0.89183932413588818</c:v>
                </c:pt>
                <c:pt idx="74">
                  <c:v>0.91293927247673923</c:v>
                </c:pt>
                <c:pt idx="75">
                  <c:v>0.9342664585039957</c:v>
                </c:pt>
                <c:pt idx="76">
                  <c:v>0.95582036851290042</c:v>
                </c:pt>
                <c:pt idx="77">
                  <c:v>0.97760048879869477</c:v>
                </c:pt>
                <c:pt idx="78">
                  <c:v>0.99960630565662212</c:v>
                </c:pt>
                <c:pt idx="79">
                  <c:v>1.0218373053819239</c:v>
                </c:pt>
                <c:pt idx="80">
                  <c:v>1.0442929742698428</c:v>
                </c:pt>
                <c:pt idx="81">
                  <c:v>1.066972798615621</c:v>
                </c:pt>
                <c:pt idx="82">
                  <c:v>1.0898762647145008</c:v>
                </c:pt>
                <c:pt idx="83">
                  <c:v>1.1130028588617245</c:v>
                </c:pt>
                <c:pt idx="84">
                  <c:v>1.1363520673525342</c:v>
                </c:pt>
                <c:pt idx="85">
                  <c:v>1.1599233764821728</c:v>
                </c:pt>
                <c:pt idx="86">
                  <c:v>1.1837162725458821</c:v>
                </c:pt>
                <c:pt idx="87">
                  <c:v>1.207730241838904</c:v>
                </c:pt>
                <c:pt idx="88">
                  <c:v>1.2319647706564816</c:v>
                </c:pt>
                <c:pt idx="89">
                  <c:v>1.2564193452938563</c:v>
                </c:pt>
                <c:pt idx="90">
                  <c:v>1.2810934520462713</c:v>
                </c:pt>
                <c:pt idx="91">
                  <c:v>1.3059865772089685</c:v>
                </c:pt>
                <c:pt idx="92">
                  <c:v>1.33109820707719</c:v>
                </c:pt>
                <c:pt idx="93">
                  <c:v>1.3564278279461783</c:v>
                </c:pt>
                <c:pt idx="94">
                  <c:v>1.3819749261111753</c:v>
                </c:pt>
                <c:pt idx="95">
                  <c:v>1.4077389878674242</c:v>
                </c:pt>
                <c:pt idx="96">
                  <c:v>1.4337194995101665</c:v>
                </c:pt>
                <c:pt idx="97">
                  <c:v>1.4599159473346448</c:v>
                </c:pt>
                <c:pt idx="98">
                  <c:v>1.486327817636101</c:v>
                </c:pt>
                <c:pt idx="99">
                  <c:v>1.5129545967097777</c:v>
                </c:pt>
                <c:pt idx="100">
                  <c:v>1.5397957708509171</c:v>
                </c:pt>
                <c:pt idx="101">
                  <c:v>1.5668508263547618</c:v>
                </c:pt>
                <c:pt idx="102">
                  <c:v>1.5941192495165535</c:v>
                </c:pt>
                <c:pt idx="103">
                  <c:v>1.621600526631535</c:v>
                </c:pt>
                <c:pt idx="104">
                  <c:v>1.6492941439949482</c:v>
                </c:pt>
                <c:pt idx="105">
                  <c:v>1.6771995879020356</c:v>
                </c:pt>
                <c:pt idx="106">
                  <c:v>1.7053163446480393</c:v>
                </c:pt>
                <c:pt idx="107">
                  <c:v>1.7336439005282021</c:v>
                </c:pt>
                <c:pt idx="108">
                  <c:v>1.7621817418377659</c:v>
                </c:pt>
                <c:pt idx="109">
                  <c:v>1.7909293548719727</c:v>
                </c:pt>
                <c:pt idx="110">
                  <c:v>1.8198862259260653</c:v>
                </c:pt>
                <c:pt idx="111">
                  <c:v>1.8490518412952857</c:v>
                </c:pt>
                <c:pt idx="112">
                  <c:v>1.8784256872748761</c:v>
                </c:pt>
                <c:pt idx="113">
                  <c:v>1.9080072501600793</c:v>
                </c:pt>
                <c:pt idx="114">
                  <c:v>1.937796016246137</c:v>
                </c:pt>
                <c:pt idx="115">
                  <c:v>1.9677914718282916</c:v>
                </c:pt>
                <c:pt idx="116">
                  <c:v>1.9979931032017859</c:v>
                </c:pt>
                <c:pt idx="117">
                  <c:v>2.0284003966618611</c:v>
                </c:pt>
                <c:pt idx="118">
                  <c:v>2.0590128385037612</c:v>
                </c:pt>
                <c:pt idx="119">
                  <c:v>2.0898299150227264</c:v>
                </c:pt>
                <c:pt idx="120">
                  <c:v>2.1208511125140008</c:v>
                </c:pt>
                <c:pt idx="121">
                  <c:v>2.1520759172728257</c:v>
                </c:pt>
                <c:pt idx="122">
                  <c:v>2.1835038155944435</c:v>
                </c:pt>
                <c:pt idx="123">
                  <c:v>2.2151342937740965</c:v>
                </c:pt>
                <c:pt idx="124">
                  <c:v>2.2469668381070278</c:v>
                </c:pt>
                <c:pt idx="125">
                  <c:v>2.2790009348884777</c:v>
                </c:pt>
                <c:pt idx="126">
                  <c:v>2.3112360704136909</c:v>
                </c:pt>
                <c:pt idx="127">
                  <c:v>2.3436717309779076</c:v>
                </c:pt>
                <c:pt idx="128">
                  <c:v>2.376307402876372</c:v>
                </c:pt>
                <c:pt idx="129">
                  <c:v>2.4091425724043249</c:v>
                </c:pt>
                <c:pt idx="130">
                  <c:v>2.4421767258570091</c:v>
                </c:pt>
                <c:pt idx="131">
                  <c:v>2.4754093495296674</c:v>
                </c:pt>
                <c:pt idx="132">
                  <c:v>2.5088399297175403</c:v>
                </c:pt>
                <c:pt idx="133">
                  <c:v>2.5424679527158727</c:v>
                </c:pt>
                <c:pt idx="134">
                  <c:v>2.5762929048199044</c:v>
                </c:pt>
                <c:pt idx="135">
                  <c:v>2.6103142723248798</c:v>
                </c:pt>
                <c:pt idx="136">
                  <c:v>2.6445315415260398</c:v>
                </c:pt>
                <c:pt idx="137">
                  <c:v>2.6789441987186269</c:v>
                </c:pt>
                <c:pt idx="138">
                  <c:v>2.7135517301978842</c:v>
                </c:pt>
                <c:pt idx="139">
                  <c:v>2.7483536222590526</c:v>
                </c:pt>
                <c:pt idx="140">
                  <c:v>2.7833493611973759</c:v>
                </c:pt>
                <c:pt idx="141">
                  <c:v>2.8185384333080949</c:v>
                </c:pt>
                <c:pt idx="142">
                  <c:v>2.8539203248864533</c:v>
                </c:pt>
                <c:pt idx="143">
                  <c:v>2.8894945222276927</c:v>
                </c:pt>
                <c:pt idx="144">
                  <c:v>2.9252605116270547</c:v>
                </c:pt>
                <c:pt idx="145">
                  <c:v>2.9612177793797825</c:v>
                </c:pt>
                <c:pt idx="146">
                  <c:v>2.9973658117811182</c:v>
                </c:pt>
                <c:pt idx="147">
                  <c:v>3.0337040951263043</c:v>
                </c:pt>
                <c:pt idx="148">
                  <c:v>3.0702321157105827</c:v>
                </c:pt>
                <c:pt idx="149">
                  <c:v>3.1069493598291955</c:v>
                </c:pt>
                <c:pt idx="150">
                  <c:v>3.1438553137773853</c:v>
                </c:pt>
                <c:pt idx="151">
                  <c:v>3.180949463850395</c:v>
                </c:pt>
                <c:pt idx="152">
                  <c:v>3.2182312963434661</c:v>
                </c:pt>
                <c:pt idx="153">
                  <c:v>3.255700297551841</c:v>
                </c:pt>
                <c:pt idx="154">
                  <c:v>3.2933559537707615</c:v>
                </c:pt>
                <c:pt idx="155">
                  <c:v>3.3311977512954707</c:v>
                </c:pt>
                <c:pt idx="156">
                  <c:v>3.3692251764212111</c:v>
                </c:pt>
                <c:pt idx="157">
                  <c:v>3.407437715443224</c:v>
                </c:pt>
                <c:pt idx="158">
                  <c:v>3.4458348546567521</c:v>
                </c:pt>
                <c:pt idx="159">
                  <c:v>3.4844160803570383</c:v>
                </c:pt>
                <c:pt idx="160">
                  <c:v>3.523180878839324</c:v>
                </c:pt>
                <c:pt idx="161">
                  <c:v>3.5621287363988525</c:v>
                </c:pt>
                <c:pt idx="162">
                  <c:v>3.6012591393308648</c:v>
                </c:pt>
                <c:pt idx="163">
                  <c:v>3.640571573930603</c:v>
                </c:pt>
                <c:pt idx="164">
                  <c:v>3.6800655264933115</c:v>
                </c:pt>
                <c:pt idx="165">
                  <c:v>3.7197404833142311</c:v>
                </c:pt>
                <c:pt idx="166">
                  <c:v>3.759595930688604</c:v>
                </c:pt>
                <c:pt idx="167">
                  <c:v>3.7996313549116727</c:v>
                </c:pt>
                <c:pt idx="168">
                  <c:v>3.8398462422786794</c:v>
                </c:pt>
                <c:pt idx="169">
                  <c:v>3.8802400790848668</c:v>
                </c:pt>
                <c:pt idx="170">
                  <c:v>3.920812351625476</c:v>
                </c:pt>
                <c:pt idx="171">
                  <c:v>3.9615625461957515</c:v>
                </c:pt>
                <c:pt idx="172">
                  <c:v>4.0024901490909341</c:v>
                </c:pt>
                <c:pt idx="173">
                  <c:v>4.043594646606266</c:v>
                </c:pt>
                <c:pt idx="174">
                  <c:v>4.0848755250369901</c:v>
                </c:pt>
                <c:pt idx="175">
                  <c:v>4.1263322706783478</c:v>
                </c:pt>
                <c:pt idx="176">
                  <c:v>4.1679643698255822</c:v>
                </c:pt>
                <c:pt idx="177">
                  <c:v>4.2097713087739344</c:v>
                </c:pt>
                <c:pt idx="178">
                  <c:v>4.2517525738186484</c:v>
                </c:pt>
                <c:pt idx="179">
                  <c:v>4.2939076512549654</c:v>
                </c:pt>
                <c:pt idx="180">
                  <c:v>4.3362360273781286</c:v>
                </c:pt>
                <c:pt idx="181">
                  <c:v>4.3787371884833783</c:v>
                </c:pt>
                <c:pt idx="182">
                  <c:v>4.4214106208659594</c:v>
                </c:pt>
                <c:pt idx="183">
                  <c:v>4.4642558108211121</c:v>
                </c:pt>
                <c:pt idx="184">
                  <c:v>4.5072722446440814</c:v>
                </c:pt>
                <c:pt idx="185">
                  <c:v>4.5504594086301067</c:v>
                </c:pt>
                <c:pt idx="186">
                  <c:v>4.5938167890744301</c:v>
                </c:pt>
                <c:pt idx="187">
                  <c:v>4.6373438722722948</c:v>
                </c:pt>
                <c:pt idx="188">
                  <c:v>4.6810401445189438</c:v>
                </c:pt>
                <c:pt idx="189">
                  <c:v>4.724905092109621</c:v>
                </c:pt>
                <c:pt idx="190">
                  <c:v>4.7689382013395649</c:v>
                </c:pt>
                <c:pt idx="191">
                  <c:v>4.8131389585040196</c:v>
                </c:pt>
                <c:pt idx="192">
                  <c:v>4.8575068498982272</c:v>
                </c:pt>
                <c:pt idx="193">
                  <c:v>4.9020413618174299</c:v>
                </c:pt>
                <c:pt idx="194">
                  <c:v>4.9467419805568706</c:v>
                </c:pt>
                <c:pt idx="195">
                  <c:v>4.9916081924117917</c:v>
                </c:pt>
                <c:pt idx="196">
                  <c:v>5.0366394836774333</c:v>
                </c:pt>
                <c:pt idx="197">
                  <c:v>5.0818353406490404</c:v>
                </c:pt>
                <c:pt idx="198">
                  <c:v>5.1271952496218534</c:v>
                </c:pt>
                <c:pt idx="199">
                  <c:v>5.1727186968911161</c:v>
                </c:pt>
                <c:pt idx="200">
                  <c:v>5.2184051687520707</c:v>
                </c:pt>
                <c:pt idx="201">
                  <c:v>5.2642541514999577</c:v>
                </c:pt>
                <c:pt idx="202">
                  <c:v>5.3102651314300209</c:v>
                </c:pt>
                <c:pt idx="203">
                  <c:v>5.3564375948375025</c:v>
                </c:pt>
                <c:pt idx="204">
                  <c:v>5.4027710280176438</c:v>
                </c:pt>
                <c:pt idx="205">
                  <c:v>5.4492649172656877</c:v>
                </c:pt>
                <c:pt idx="206">
                  <c:v>5.4959187488768766</c:v>
                </c:pt>
                <c:pt idx="207">
                  <c:v>5.5427320091464551</c:v>
                </c:pt>
                <c:pt idx="208">
                  <c:v>5.5897041843696602</c:v>
                </c:pt>
                <c:pt idx="209">
                  <c:v>5.6368347608417384</c:v>
                </c:pt>
                <c:pt idx="210">
                  <c:v>5.684123224857931</c:v>
                </c:pt>
                <c:pt idx="211">
                  <c:v>5.7315690627134783</c:v>
                </c:pt>
                <c:pt idx="212">
                  <c:v>5.7791717607036261</c:v>
                </c:pt>
                <c:pt idx="213">
                  <c:v>5.8269308051236148</c:v>
                </c:pt>
                <c:pt idx="214">
                  <c:v>5.8748456822686865</c:v>
                </c:pt>
                <c:pt idx="215">
                  <c:v>5.9229158784340843</c:v>
                </c:pt>
                <c:pt idx="216">
                  <c:v>5.9711408799150476</c:v>
                </c:pt>
                <c:pt idx="217">
                  <c:v>6.0195201730068231</c:v>
                </c:pt>
                <c:pt idx="218">
                  <c:v>6.0680532440046502</c:v>
                </c:pt>
                <c:pt idx="219">
                  <c:v>6.116739579203772</c:v>
                </c:pt>
                <c:pt idx="220">
                  <c:v>6.1655786648994315</c:v>
                </c:pt>
                <c:pt idx="221">
                  <c:v>6.2145699873868701</c:v>
                </c:pt>
                <c:pt idx="222">
                  <c:v>6.2637130329613298</c:v>
                </c:pt>
                <c:pt idx="223">
                  <c:v>6.3130072879180537</c:v>
                </c:pt>
                <c:pt idx="224">
                  <c:v>6.3624522385522821</c:v>
                </c:pt>
                <c:pt idx="225">
                  <c:v>6.4120473711592618</c:v>
                </c:pt>
                <c:pt idx="226">
                  <c:v>6.4617921720342295</c:v>
                </c:pt>
                <c:pt idx="227">
                  <c:v>6.5116861274724327</c:v>
                </c:pt>
                <c:pt idx="228">
                  <c:v>6.5617287237691082</c:v>
                </c:pt>
                <c:pt idx="229">
                  <c:v>6.6119194472195026</c:v>
                </c:pt>
                <c:pt idx="230">
                  <c:v>6.6622577841188573</c:v>
                </c:pt>
                <c:pt idx="231">
                  <c:v>6.7127432207624143</c:v>
                </c:pt>
                <c:pt idx="232">
                  <c:v>6.763375243445414</c:v>
                </c:pt>
                <c:pt idx="233">
                  <c:v>6.8141533384631012</c:v>
                </c:pt>
                <c:pt idx="234">
                  <c:v>6.8650769921107182</c:v>
                </c:pt>
                <c:pt idx="235">
                  <c:v>6.916145690683507</c:v>
                </c:pt>
                <c:pt idx="236">
                  <c:v>6.9673589204767081</c:v>
                </c:pt>
                <c:pt idx="237">
                  <c:v>7.0187161677855645</c:v>
                </c:pt>
                <c:pt idx="238">
                  <c:v>7.070216918905321</c:v>
                </c:pt>
                <c:pt idx="239">
                  <c:v>7.1218606601312153</c:v>
                </c:pt>
                <c:pt idx="240">
                  <c:v>7.173646877758495</c:v>
                </c:pt>
                <c:pt idx="241">
                  <c:v>7.2255750580823985</c:v>
                </c:pt>
                <c:pt idx="242">
                  <c:v>7.2776446873981682</c:v>
                </c:pt>
                <c:pt idx="243">
                  <c:v>7.3298552520010487</c:v>
                </c:pt>
                <c:pt idx="244">
                  <c:v>7.3822062381862796</c:v>
                </c:pt>
                <c:pt idx="245">
                  <c:v>7.4346971322491058</c:v>
                </c:pt>
                <c:pt idx="246">
                  <c:v>7.4873274204847666</c:v>
                </c:pt>
                <c:pt idx="247">
                  <c:v>7.5400965891885097</c:v>
                </c:pt>
                <c:pt idx="248">
                  <c:v>7.59300412465557</c:v>
                </c:pt>
                <c:pt idx="249">
                  <c:v>7.6460495131811967</c:v>
                </c:pt>
                <c:pt idx="250">
                  <c:v>7.6992322410606242</c:v>
                </c:pt>
                <c:pt idx="251">
                  <c:v>7.7525517945891051</c:v>
                </c:pt>
                <c:pt idx="252">
                  <c:v>7.8060076600618729</c:v>
                </c:pt>
                <c:pt idx="253">
                  <c:v>7.8595993237741739</c:v>
                </c:pt>
                <c:pt idx="254">
                  <c:v>7.9133262720212478</c:v>
                </c:pt>
                <c:pt idx="255">
                  <c:v>7.9671879910983421</c:v>
                </c:pt>
                <c:pt idx="256">
                  <c:v>8.0211839673006935</c:v>
                </c:pt>
                <c:pt idx="257">
                  <c:v>8.0753136869235487</c:v>
                </c:pt>
                <c:pt idx="258">
                  <c:v>8.1295766362621453</c:v>
                </c:pt>
                <c:pt idx="259">
                  <c:v>8.1839723016117283</c:v>
                </c:pt>
                <c:pt idx="260">
                  <c:v>8.2385001692675388</c:v>
                </c:pt>
                <c:pt idx="261">
                  <c:v>8.2931597255248235</c:v>
                </c:pt>
                <c:pt idx="262">
                  <c:v>8.3479504566788165</c:v>
                </c:pt>
                <c:pt idx="263">
                  <c:v>8.402871849024768</c:v>
                </c:pt>
                <c:pt idx="264">
                  <c:v>8.4579233888579139</c:v>
                </c:pt>
                <c:pt idx="265">
                  <c:v>8.5131045624735027</c:v>
                </c:pt>
                <c:pt idx="266">
                  <c:v>8.5684148561667719</c:v>
                </c:pt>
                <c:pt idx="267">
                  <c:v>8.6238537562329682</c:v>
                </c:pt>
                <c:pt idx="268">
                  <c:v>8.6794207489673276</c:v>
                </c:pt>
                <c:pt idx="269">
                  <c:v>8.7351153206650984</c:v>
                </c:pt>
                <c:pt idx="270">
                  <c:v>8.7909369576215184</c:v>
                </c:pt>
                <c:pt idx="271">
                  <c:v>8.8468851461318359</c:v>
                </c:pt>
                <c:pt idx="272">
                  <c:v>8.902959372491285</c:v>
                </c:pt>
                <c:pt idx="273">
                  <c:v>8.9591591229951142</c:v>
                </c:pt>
                <c:pt idx="274">
                  <c:v>9.0154838839385611</c:v>
                </c:pt>
                <c:pt idx="275">
                  <c:v>9.071933141616876</c:v>
                </c:pt>
                <c:pt idx="276">
                  <c:v>9.1285063823252894</c:v>
                </c:pt>
                <c:pt idx="277">
                  <c:v>9.1852030923590533</c:v>
                </c:pt>
                <c:pt idx="278">
                  <c:v>9.2420227580134053</c:v>
                </c:pt>
                <c:pt idx="279">
                  <c:v>9.2989648655835939</c:v>
                </c:pt>
                <c:pt idx="280">
                  <c:v>9.3560289013648497</c:v>
                </c:pt>
                <c:pt idx="281">
                  <c:v>9.4132143516524263</c:v>
                </c:pt>
                <c:pt idx="282">
                  <c:v>9.4705207027415597</c:v>
                </c:pt>
                <c:pt idx="283">
                  <c:v>9.5279474409274965</c:v>
                </c:pt>
                <c:pt idx="284">
                  <c:v>9.5854940525054744</c:v>
                </c:pt>
                <c:pt idx="285">
                  <c:v>9.64316002377074</c:v>
                </c:pt>
                <c:pt idx="286">
                  <c:v>9.7009448410185293</c:v>
                </c:pt>
                <c:pt idx="287">
                  <c:v>9.7588479905440906</c:v>
                </c:pt>
                <c:pt idx="288">
                  <c:v>9.8168689586426652</c:v>
                </c:pt>
                <c:pt idx="289">
                  <c:v>9.8750072316094961</c:v>
                </c:pt>
                <c:pt idx="290">
                  <c:v>9.9332622957398193</c:v>
                </c:pt>
                <c:pt idx="291">
                  <c:v>9.991633637328885</c:v>
                </c:pt>
                <c:pt idx="292">
                  <c:v>10.050120742671931</c:v>
                </c:pt>
                <c:pt idx="293">
                  <c:v>10.108723098064203</c:v>
                </c:pt>
                <c:pt idx="294">
                  <c:v>10.167440189800937</c:v>
                </c:pt>
                <c:pt idx="295">
                  <c:v>10.226271504177383</c:v>
                </c:pt>
                <c:pt idx="296">
                  <c:v>10.285216527488776</c:v>
                </c:pt>
                <c:pt idx="297">
                  <c:v>10.344274746030367</c:v>
                </c:pt>
                <c:pt idx="298">
                  <c:v>10.403445646097389</c:v>
                </c:pt>
                <c:pt idx="299">
                  <c:v>10.46272871398509</c:v>
                </c:pt>
                <c:pt idx="300">
                  <c:v>10.522123435988709</c:v>
                </c:pt>
                <c:pt idx="301">
                  <c:v>10.581629298403493</c:v>
                </c:pt>
                <c:pt idx="302">
                  <c:v>10.641245787524682</c:v>
                </c:pt>
                <c:pt idx="303">
                  <c:v>10.700972389647516</c:v>
                </c:pt>
                <c:pt idx="304">
                  <c:v>10.760808591067239</c:v>
                </c:pt>
                <c:pt idx="305">
                  <c:v>10.82075387807909</c:v>
                </c:pt>
                <c:pt idx="306">
                  <c:v>10.880807736978319</c:v>
                </c:pt>
                <c:pt idx="307">
                  <c:v>10.940969654060162</c:v>
                </c:pt>
                <c:pt idx="308">
                  <c:v>11.00123911561986</c:v>
                </c:pt>
                <c:pt idx="309">
                  <c:v>11.061615607952664</c:v>
                </c:pt>
                <c:pt idx="310">
                  <c:v>11.122098617353808</c:v>
                </c:pt>
                <c:pt idx="311">
                  <c:v>11.182687630118538</c:v>
                </c:pt>
                <c:pt idx="312">
                  <c:v>11.243382132542093</c:v>
                </c:pt>
                <c:pt idx="313">
                  <c:v>11.304181610919724</c:v>
                </c:pt>
                <c:pt idx="314">
                  <c:v>11.365085551546656</c:v>
                </c:pt>
                <c:pt idx="315">
                  <c:v>11.426093440718152</c:v>
                </c:pt>
                <c:pt idx="316">
                  <c:v>11.487204764729437</c:v>
                </c:pt>
                <c:pt idx="317">
                  <c:v>11.548419009875765</c:v>
                </c:pt>
                <c:pt idx="318">
                  <c:v>11.609735662452373</c:v>
                </c:pt>
                <c:pt idx="319">
                  <c:v>11.671154208754503</c:v>
                </c:pt>
                <c:pt idx="320">
                  <c:v>11.732674135077399</c:v>
                </c:pt>
                <c:pt idx="321">
                  <c:v>11.794294927716304</c:v>
                </c:pt>
                <c:pt idx="322">
                  <c:v>11.856016072966458</c:v>
                </c:pt>
                <c:pt idx="323">
                  <c:v>11.917837057123107</c:v>
                </c:pt>
                <c:pt idx="324">
                  <c:v>11.979757366481488</c:v>
                </c:pt>
                <c:pt idx="325">
                  <c:v>12.041776487336845</c:v>
                </c:pt>
                <c:pt idx="326">
                  <c:v>12.103893905984421</c:v>
                </c:pt>
                <c:pt idx="327">
                  <c:v>12.166109108719461</c:v>
                </c:pt>
                <c:pt idx="328">
                  <c:v>12.228421581837202</c:v>
                </c:pt>
                <c:pt idx="329">
                  <c:v>12.290830811632892</c:v>
                </c:pt>
                <c:pt idx="330">
                  <c:v>12.353336284401768</c:v>
                </c:pt>
                <c:pt idx="331">
                  <c:v>12.415937486439079</c:v>
                </c:pt>
                <c:pt idx="332">
                  <c:v>12.478633904040056</c:v>
                </c:pt>
                <c:pt idx="333">
                  <c:v>12.541425023499952</c:v>
                </c:pt>
                <c:pt idx="334">
                  <c:v>12.604310331114005</c:v>
                </c:pt>
                <c:pt idx="335">
                  <c:v>12.667289313177459</c:v>
                </c:pt>
                <c:pt idx="336">
                  <c:v>12.730361455985552</c:v>
                </c:pt>
                <c:pt idx="337">
                  <c:v>12.793526245833533</c:v>
                </c:pt>
                <c:pt idx="338">
                  <c:v>12.856783169016639</c:v>
                </c:pt>
                <c:pt idx="339">
                  <c:v>12.920131711830114</c:v>
                </c:pt>
                <c:pt idx="340">
                  <c:v>12.983571360569199</c:v>
                </c:pt>
                <c:pt idx="341">
                  <c:v>13.047101601529143</c:v>
                </c:pt>
                <c:pt idx="342">
                  <c:v>13.110721921005174</c:v>
                </c:pt>
                <c:pt idx="343">
                  <c:v>13.174431805292551</c:v>
                </c:pt>
                <c:pt idx="344">
                  <c:v>13.238230740686502</c:v>
                </c:pt>
                <c:pt idx="345">
                  <c:v>13.302118213482281</c:v>
                </c:pt>
                <c:pt idx="346">
                  <c:v>13.36609370997512</c:v>
                </c:pt>
                <c:pt idx="347">
                  <c:v>13.430156716460271</c:v>
                </c:pt>
                <c:pt idx="348">
                  <c:v>13.494306719232966</c:v>
                </c:pt>
                <c:pt idx="349">
                  <c:v>13.558543204588457</c:v>
                </c:pt>
                <c:pt idx="350">
                  <c:v>13.622865658821979</c:v>
                </c:pt>
                <c:pt idx="351">
                  <c:v>13.687273568228782</c:v>
                </c:pt>
                <c:pt idx="352">
                  <c:v>13.751766419104101</c:v>
                </c:pt>
                <c:pt idx="353">
                  <c:v>13.81634369774318</c:v>
                </c:pt>
                <c:pt idx="354">
                  <c:v>13.881004890441259</c:v>
                </c:pt>
                <c:pt idx="355">
                  <c:v>13.945749483493593</c:v>
                </c:pt>
                <c:pt idx="356">
                  <c:v>14.010576963195403</c:v>
                </c:pt>
                <c:pt idx="357">
                  <c:v>14.075486815841952</c:v>
                </c:pt>
                <c:pt idx="358">
                  <c:v>14.140478527728472</c:v>
                </c:pt>
                <c:pt idx="359">
                  <c:v>14.205551585150204</c:v>
                </c:pt>
                <c:pt idx="360">
                  <c:v>14.270705474402394</c:v>
                </c:pt>
                <c:pt idx="361">
                  <c:v>14.335939681780285</c:v>
                </c:pt>
                <c:pt idx="362">
                  <c:v>14.401253693579111</c:v>
                </c:pt>
                <c:pt idx="363">
                  <c:v>14.466646996094131</c:v>
                </c:pt>
                <c:pt idx="364">
                  <c:v>14.532119075620569</c:v>
                </c:pt>
                <c:pt idx="365">
                  <c:v>14.59766941845368</c:v>
                </c:pt>
                <c:pt idx="366">
                  <c:v>14.663297510888697</c:v>
                </c:pt>
                <c:pt idx="367">
                  <c:v>14.729002839220872</c:v>
                </c:pt>
                <c:pt idx="368">
                  <c:v>14.794784889745438</c:v>
                </c:pt>
                <c:pt idx="369">
                  <c:v>14.860643148757642</c:v>
                </c:pt>
                <c:pt idx="370">
                  <c:v>14.926577102552729</c:v>
                </c:pt>
                <c:pt idx="371">
                  <c:v>14.992586237425936</c:v>
                </c:pt>
                <c:pt idx="372">
                  <c:v>15.058670039672505</c:v>
                </c:pt>
                <c:pt idx="373">
                  <c:v>15.124827995587685</c:v>
                </c:pt>
                <c:pt idx="374">
                  <c:v>15.191059591466708</c:v>
                </c:pt>
                <c:pt idx="375">
                  <c:v>15.257364313604832</c:v>
                </c:pt>
                <c:pt idx="376">
                  <c:v>15.323741648297275</c:v>
                </c:pt>
                <c:pt idx="377">
                  <c:v>15.390191081839307</c:v>
                </c:pt>
                <c:pt idx="378">
                  <c:v>15.456712100526151</c:v>
                </c:pt>
                <c:pt idx="379">
                  <c:v>15.523304190653057</c:v>
                </c:pt>
                <c:pt idx="380">
                  <c:v>15.589966838515265</c:v>
                </c:pt>
                <c:pt idx="381">
                  <c:v>15.656699530408016</c:v>
                </c:pt>
                <c:pt idx="382">
                  <c:v>15.723501752626557</c:v>
                </c:pt>
                <c:pt idx="383">
                  <c:v>15.790372991466127</c:v>
                </c:pt>
                <c:pt idx="384">
                  <c:v>15.857312733221967</c:v>
                </c:pt>
                <c:pt idx="385">
                  <c:v>15.924320464189325</c:v>
                </c:pt>
                <c:pt idx="386">
                  <c:v>15.991395670663431</c:v>
                </c:pt>
                <c:pt idx="387">
                  <c:v>16.05853783893955</c:v>
                </c:pt>
                <c:pt idx="388">
                  <c:v>16.125746455312896</c:v>
                </c:pt>
                <c:pt idx="389">
                  <c:v>16.193021006078734</c:v>
                </c:pt>
                <c:pt idx="390">
                  <c:v>16.260360977532294</c:v>
                </c:pt>
                <c:pt idx="391">
                  <c:v>16.327765855968824</c:v>
                </c:pt>
                <c:pt idx="392">
                  <c:v>16.395235127683556</c:v>
                </c:pt>
                <c:pt idx="393">
                  <c:v>16.462768278971748</c:v>
                </c:pt>
                <c:pt idx="394">
                  <c:v>16.53036479612863</c:v>
                </c:pt>
                <c:pt idx="395">
                  <c:v>16.598024165449456</c:v>
                </c:pt>
                <c:pt idx="396">
                  <c:v>16.665745873229451</c:v>
                </c:pt>
                <c:pt idx="397">
                  <c:v>16.733529405763878</c:v>
                </c:pt>
                <c:pt idx="398">
                  <c:v>16.801374249347958</c:v>
                </c:pt>
                <c:pt idx="399">
                  <c:v>16.869279890276953</c:v>
                </c:pt>
                <c:pt idx="400">
                  <c:v>16.937245814846094</c:v>
                </c:pt>
                <c:pt idx="401">
                  <c:v>17.005271509350624</c:v>
                </c:pt>
                <c:pt idx="402">
                  <c:v>17.073356460085783</c:v>
                </c:pt>
                <c:pt idx="403">
                  <c:v>17.141500153346826</c:v>
                </c:pt>
                <c:pt idx="404">
                  <c:v>17.209702075428979</c:v>
                </c:pt>
                <c:pt idx="405">
                  <c:v>17.277961712627501</c:v>
                </c:pt>
                <c:pt idx="406">
                  <c:v>17.346278551237614</c:v>
                </c:pt>
                <c:pt idx="407">
                  <c:v>17.414652077554578</c:v>
                </c:pt>
                <c:pt idx="408">
                  <c:v>17.483081777873629</c:v>
                </c:pt>
                <c:pt idx="409">
                  <c:v>17.551567138490007</c:v>
                </c:pt>
                <c:pt idx="410">
                  <c:v>17.620107645698951</c:v>
                </c:pt>
                <c:pt idx="411">
                  <c:v>17.688702785795716</c:v>
                </c:pt>
                <c:pt idx="412">
                  <c:v>17.757352045075532</c:v>
                </c:pt>
                <c:pt idx="413">
                  <c:v>17.826054909833651</c:v>
                </c:pt>
                <c:pt idx="414">
                  <c:v>17.894810866365304</c:v>
                </c:pt>
                <c:pt idx="415">
                  <c:v>17.963619400965747</c:v>
                </c:pt>
                <c:pt idx="416">
                  <c:v>18.032479999930207</c:v>
                </c:pt>
                <c:pt idx="417">
                  <c:v>18.101392149553945</c:v>
                </c:pt>
                <c:pt idx="418">
                  <c:v>18.170355336132182</c:v>
                </c:pt>
                <c:pt idx="419">
                  <c:v>18.239369045960174</c:v>
                </c:pt>
                <c:pt idx="420">
                  <c:v>18.308432765333158</c:v>
                </c:pt>
                <c:pt idx="421">
                  <c:v>18.377545980546383</c:v>
                </c:pt>
                <c:pt idx="422">
                  <c:v>18.446708177895083</c:v>
                </c:pt>
                <c:pt idx="423">
                  <c:v>18.515918843674505</c:v>
                </c:pt>
                <c:pt idx="424">
                  <c:v>18.585177464179889</c:v>
                </c:pt>
                <c:pt idx="425">
                  <c:v>18.654483525706482</c:v>
                </c:pt>
                <c:pt idx="426">
                  <c:v>18.723836514549518</c:v>
                </c:pt>
                <c:pt idx="427">
                  <c:v>18.79323591700425</c:v>
                </c:pt>
                <c:pt idx="428">
                  <c:v>18.862681219365911</c:v>
                </c:pt>
                <c:pt idx="429">
                  <c:v>18.932171907929746</c:v>
                </c:pt>
                <c:pt idx="430">
                  <c:v>19.001707468990997</c:v>
                </c:pt>
                <c:pt idx="431">
                  <c:v>19.071287388844908</c:v>
                </c:pt>
                <c:pt idx="432">
                  <c:v>19.140911153786721</c:v>
                </c:pt>
                <c:pt idx="433">
                  <c:v>19.210578250111677</c:v>
                </c:pt>
                <c:pt idx="434">
                  <c:v>19.280288164115017</c:v>
                </c:pt>
                <c:pt idx="435">
                  <c:v>19.35004038209199</c:v>
                </c:pt>
                <c:pt idx="436">
                  <c:v>19.419834390337829</c:v>
                </c:pt>
                <c:pt idx="437">
                  <c:v>19.489669675147788</c:v>
                </c:pt>
                <c:pt idx="438">
                  <c:v>19.559545722817091</c:v>
                </c:pt>
                <c:pt idx="439">
                  <c:v>19.629462019641</c:v>
                </c:pt>
                <c:pt idx="440">
                  <c:v>19.699418051914748</c:v>
                </c:pt>
                <c:pt idx="441">
                  <c:v>19.769413305933579</c:v>
                </c:pt>
                <c:pt idx="442">
                  <c:v>19.839447267992728</c:v>
                </c:pt>
                <c:pt idx="443">
                  <c:v>19.909519424387454</c:v>
                </c:pt>
                <c:pt idx="444">
                  <c:v>19.979629261412978</c:v>
                </c:pt>
                <c:pt idx="445">
                  <c:v>20.04977626536456</c:v>
                </c:pt>
                <c:pt idx="446">
                  <c:v>20.119959922537429</c:v>
                </c:pt>
                <c:pt idx="447">
                  <c:v>20.19017971922684</c:v>
                </c:pt>
                <c:pt idx="448">
                  <c:v>20.260435141728024</c:v>
                </c:pt>
                <c:pt idx="449">
                  <c:v>20.330725676336236</c:v>
                </c:pt>
                <c:pt idx="450">
                  <c:v>20.4010508093467</c:v>
                </c:pt>
                <c:pt idx="451">
                  <c:v>20.471410027054681</c:v>
                </c:pt>
                <c:pt idx="452">
                  <c:v>20.541802815755396</c:v>
                </c:pt>
                <c:pt idx="453">
                  <c:v>20.612228661744108</c:v>
                </c:pt>
                <c:pt idx="454">
                  <c:v>20.682687051316051</c:v>
                </c:pt>
                <c:pt idx="455">
                  <c:v>20.75317747076647</c:v>
                </c:pt>
                <c:pt idx="456">
                  <c:v>20.823699406390599</c:v>
                </c:pt>
                <c:pt idx="457">
                  <c:v>20.894252344483693</c:v>
                </c:pt>
                <c:pt idx="458">
                  <c:v>20.964835771340983</c:v>
                </c:pt>
                <c:pt idx="459">
                  <c:v>21.035449173257724</c:v>
                </c:pt>
                <c:pt idx="460">
                  <c:v>21.106092036529141</c:v>
                </c:pt>
                <c:pt idx="461">
                  <c:v>21.176763847450491</c:v>
                </c:pt>
                <c:pt idx="462">
                  <c:v>21.247464092317006</c:v>
                </c:pt>
                <c:pt idx="463">
                  <c:v>21.318192257423942</c:v>
                </c:pt>
                <c:pt idx="464">
                  <c:v>21.388947829066524</c:v>
                </c:pt>
                <c:pt idx="465">
                  <c:v>21.459730293540009</c:v>
                </c:pt>
                <c:pt idx="466">
                  <c:v>21.530539137139627</c:v>
                </c:pt>
                <c:pt idx="467">
                  <c:v>21.601373846160634</c:v>
                </c:pt>
                <c:pt idx="468">
                  <c:v>21.672233906898256</c:v>
                </c:pt>
                <c:pt idx="469">
                  <c:v>21.743118805647754</c:v>
                </c:pt>
                <c:pt idx="470">
                  <c:v>21.81402802870435</c:v>
                </c:pt>
                <c:pt idx="471">
                  <c:v>21.884961062363306</c:v>
                </c:pt>
                <c:pt idx="472">
                  <c:v>21.955917392919847</c:v>
                </c:pt>
                <c:pt idx="473">
                  <c:v>22.026896506669232</c:v>
                </c:pt>
                <c:pt idx="474">
                  <c:v>22.097897889906683</c:v>
                </c:pt>
                <c:pt idx="475">
                  <c:v>22.168921028927461</c:v>
                </c:pt>
                <c:pt idx="476">
                  <c:v>22.239965410026798</c:v>
                </c:pt>
                <c:pt idx="477">
                  <c:v>22.311030519499944</c:v>
                </c:pt>
                <c:pt idx="478">
                  <c:v>22.382115843642133</c:v>
                </c:pt>
                <c:pt idx="479">
                  <c:v>22.453220868748613</c:v>
                </c:pt>
                <c:pt idx="480">
                  <c:v>22.524345081114618</c:v>
                </c:pt>
                <c:pt idx="481">
                  <c:v>22.5954879670354</c:v>
                </c:pt>
                <c:pt idx="482">
                  <c:v>22.6666490128062</c:v>
                </c:pt>
                <c:pt idx="483">
                  <c:v>22.737827704722257</c:v>
                </c:pt>
                <c:pt idx="484">
                  <c:v>22.809023529078811</c:v>
                </c:pt>
                <c:pt idx="485">
                  <c:v>22.880235972171114</c:v>
                </c:pt>
                <c:pt idx="486">
                  <c:v>22.951464520294397</c:v>
                </c:pt>
                <c:pt idx="487">
                  <c:v>23.022708659743913</c:v>
                </c:pt>
                <c:pt idx="488">
                  <c:v>23.093967876814887</c:v>
                </c:pt>
                <c:pt idx="489">
                  <c:v>23.165241657802579</c:v>
                </c:pt>
                <c:pt idx="490">
                  <c:v>23.236529489002226</c:v>
                </c:pt>
                <c:pt idx="491">
                  <c:v>23.307830856709074</c:v>
                </c:pt>
                <c:pt idx="492">
                  <c:v>23.379145247218354</c:v>
                </c:pt>
                <c:pt idx="493">
                  <c:v>23.450472146825316</c:v>
                </c:pt>
                <c:pt idx="494">
                  <c:v>23.521811041825202</c:v>
                </c:pt>
                <c:pt idx="495">
                  <c:v>23.593161418513255</c:v>
                </c:pt>
                <c:pt idx="496">
                  <c:v>23.66452276318471</c:v>
                </c:pt>
                <c:pt idx="497">
                  <c:v>23.735894562134824</c:v>
                </c:pt>
                <c:pt idx="498">
                  <c:v>23.807276301658813</c:v>
                </c:pt>
                <c:pt idx="499">
                  <c:v>23.878667468051955</c:v>
                </c:pt>
                <c:pt idx="500">
                  <c:v>23.950067547609464</c:v>
                </c:pt>
                <c:pt idx="501">
                  <c:v>24.021476026626591</c:v>
                </c:pt>
                <c:pt idx="502">
                  <c:v>24.092892391398589</c:v>
                </c:pt>
                <c:pt idx="503">
                  <c:v>24.164316128220676</c:v>
                </c:pt>
                <c:pt idx="504">
                  <c:v>24.235746723388125</c:v>
                </c:pt>
                <c:pt idx="505">
                  <c:v>24.307183663196156</c:v>
                </c:pt>
                <c:pt idx="506">
                  <c:v>24.37862643394001</c:v>
                </c:pt>
                <c:pt idx="507">
                  <c:v>24.450074521914949</c:v>
                </c:pt>
                <c:pt idx="508">
                  <c:v>24.521527413416194</c:v>
                </c:pt>
                <c:pt idx="509">
                  <c:v>24.592984594739001</c:v>
                </c:pt>
                <c:pt idx="510">
                  <c:v>24.664445552178606</c:v>
                </c:pt>
                <c:pt idx="511">
                  <c:v>24.735909772030254</c:v>
                </c:pt>
                <c:pt idx="512">
                  <c:v>24.807376740589195</c:v>
                </c:pt>
                <c:pt idx="513">
                  <c:v>24.878845944150655</c:v>
                </c:pt>
                <c:pt idx="514">
                  <c:v>24.950316869009882</c:v>
                </c:pt>
                <c:pt idx="515">
                  <c:v>25.021789001462118</c:v>
                </c:pt>
                <c:pt idx="516">
                  <c:v>25.093261827802614</c:v>
                </c:pt>
                <c:pt idx="517">
                  <c:v>25.164734834326598</c:v>
                </c:pt>
                <c:pt idx="518">
                  <c:v>25.236207507329318</c:v>
                </c:pt>
                <c:pt idx="519">
                  <c:v>25.30767933310603</c:v>
                </c:pt>
                <c:pt idx="520">
                  <c:v>25.379149797951957</c:v>
                </c:pt>
                <c:pt idx="521">
                  <c:v>25.450618388162354</c:v>
                </c:pt>
                <c:pt idx="522">
                  <c:v>25.522084590032453</c:v>
                </c:pt>
                <c:pt idx="523">
                  <c:v>25.593547889857501</c:v>
                </c:pt>
                <c:pt idx="524">
                  <c:v>25.665007773932746</c:v>
                </c:pt>
                <c:pt idx="525">
                  <c:v>25.736463728553421</c:v>
                </c:pt>
                <c:pt idx="526">
                  <c:v>25.807915240014772</c:v>
                </c:pt>
                <c:pt idx="527">
                  <c:v>25.879361794612045</c:v>
                </c:pt>
                <c:pt idx="528">
                  <c:v>25.95080287864047</c:v>
                </c:pt>
                <c:pt idx="529">
                  <c:v>26.02223797839531</c:v>
                </c:pt>
                <c:pt idx="530">
                  <c:v>26.093666580171785</c:v>
                </c:pt>
                <c:pt idx="531">
                  <c:v>26.165088170265157</c:v>
                </c:pt>
                <c:pt idx="532">
                  <c:v>26.236502234970651</c:v>
                </c:pt>
                <c:pt idx="533">
                  <c:v>26.30790826058352</c:v>
                </c:pt>
                <c:pt idx="534">
                  <c:v>26.379305733399011</c:v>
                </c:pt>
                <c:pt idx="535">
                  <c:v>26.450694139712347</c:v>
                </c:pt>
                <c:pt idx="536">
                  <c:v>26.522072965818786</c:v>
                </c:pt>
                <c:pt idx="537">
                  <c:v>26.593441698013567</c:v>
                </c:pt>
                <c:pt idx="538">
                  <c:v>26.664799822591934</c:v>
                </c:pt>
                <c:pt idx="539">
                  <c:v>26.736146825849129</c:v>
                </c:pt>
                <c:pt idx="540">
                  <c:v>26.807482194080386</c:v>
                </c:pt>
                <c:pt idx="541">
                  <c:v>26.878805413580956</c:v>
                </c:pt>
                <c:pt idx="542">
                  <c:v>26.950115970646078</c:v>
                </c:pt>
                <c:pt idx="543">
                  <c:v>27.021413351570999</c:v>
                </c:pt>
                <c:pt idx="544">
                  <c:v>27.092697042650954</c:v>
                </c:pt>
                <c:pt idx="545">
                  <c:v>27.163966530181185</c:v>
                </c:pt>
                <c:pt idx="546">
                  <c:v>27.235221300456942</c:v>
                </c:pt>
                <c:pt idx="547">
                  <c:v>27.306460839773464</c:v>
                </c:pt>
                <c:pt idx="548">
                  <c:v>27.377684634425989</c:v>
                </c:pt>
                <c:pt idx="549">
                  <c:v>27.448892170709769</c:v>
                </c:pt>
                <c:pt idx="550">
                  <c:v>27.52008293492004</c:v>
                </c:pt>
                <c:pt idx="551">
                  <c:v>27.591256413352035</c:v>
                </c:pt>
                <c:pt idx="552">
                  <c:v>27.662412092301015</c:v>
                </c:pt>
                <c:pt idx="553">
                  <c:v>27.733549458062214</c:v>
                </c:pt>
                <c:pt idx="554">
                  <c:v>27.80466799693086</c:v>
                </c:pt>
                <c:pt idx="555">
                  <c:v>27.875767195202222</c:v>
                </c:pt>
                <c:pt idx="556">
                  <c:v>27.946846539171517</c:v>
                </c:pt>
                <c:pt idx="557">
                  <c:v>28.017905515134018</c:v>
                </c:pt>
                <c:pt idx="558">
                  <c:v>28.088943609384931</c:v>
                </c:pt>
                <c:pt idx="559">
                  <c:v>28.159960308219524</c:v>
                </c:pt>
                <c:pt idx="560">
                  <c:v>28.230955097933023</c:v>
                </c:pt>
                <c:pt idx="561">
                  <c:v>28.301927464820682</c:v>
                </c:pt>
                <c:pt idx="562">
                  <c:v>28.372876895177747</c:v>
                </c:pt>
                <c:pt idx="563">
                  <c:v>28.443802875299447</c:v>
                </c:pt>
                <c:pt idx="564">
                  <c:v>28.514704891481028</c:v>
                </c:pt>
                <c:pt idx="565">
                  <c:v>28.585582430017737</c:v>
                </c:pt>
                <c:pt idx="566">
                  <c:v>28.65643497720481</c:v>
                </c:pt>
                <c:pt idx="567">
                  <c:v>28.727262019337502</c:v>
                </c:pt>
                <c:pt idx="568">
                  <c:v>28.798063042711039</c:v>
                </c:pt>
                <c:pt idx="569">
                  <c:v>28.86883753362067</c:v>
                </c:pt>
                <c:pt idx="570">
                  <c:v>28.939584978361637</c:v>
                </c:pt>
                <c:pt idx="571">
                  <c:v>29.010304863229191</c:v>
                </c:pt>
                <c:pt idx="572">
                  <c:v>29.080996674518563</c:v>
                </c:pt>
                <c:pt idx="573">
                  <c:v>29.151659898524997</c:v>
                </c:pt>
                <c:pt idx="574">
                  <c:v>29.222294021543732</c:v>
                </c:pt>
                <c:pt idx="575">
                  <c:v>29.292898529870019</c:v>
                </c:pt>
                <c:pt idx="576">
                  <c:v>29.3634729097991</c:v>
                </c:pt>
                <c:pt idx="577">
                  <c:v>29.434016647626216</c:v>
                </c:pt>
                <c:pt idx="578">
                  <c:v>29.5045292296466</c:v>
                </c:pt>
                <c:pt idx="579">
                  <c:v>29.575010142155499</c:v>
                </c:pt>
                <c:pt idx="580">
                  <c:v>29.64545887144817</c:v>
                </c:pt>
                <c:pt idx="581">
                  <c:v>29.715874903819824</c:v>
                </c:pt>
                <c:pt idx="582">
                  <c:v>29.78625772556574</c:v>
                </c:pt>
                <c:pt idx="583">
                  <c:v>29.856606822981139</c:v>
                </c:pt>
                <c:pt idx="584">
                  <c:v>29.926921682361257</c:v>
                </c:pt>
                <c:pt idx="585">
                  <c:v>29.997201790001355</c:v>
                </c:pt>
                <c:pt idx="586">
                  <c:v>30.067446632196663</c:v>
                </c:pt>
                <c:pt idx="587">
                  <c:v>30.137655695242422</c:v>
                </c:pt>
                <c:pt idx="588">
                  <c:v>30.207828465433892</c:v>
                </c:pt>
                <c:pt idx="589">
                  <c:v>30.277964429066291</c:v>
                </c:pt>
                <c:pt idx="590">
                  <c:v>30.348063072434879</c:v>
                </c:pt>
                <c:pt idx="591">
                  <c:v>30.418123881834894</c:v>
                </c:pt>
                <c:pt idx="592">
                  <c:v>30.488146343561571</c:v>
                </c:pt>
                <c:pt idx="593">
                  <c:v>30.558129943910153</c:v>
                </c:pt>
                <c:pt idx="594">
                  <c:v>30.628074169175896</c:v>
                </c:pt>
                <c:pt idx="595">
                  <c:v>30.697978505654024</c:v>
                </c:pt>
                <c:pt idx="596">
                  <c:v>30.767842439639789</c:v>
                </c:pt>
                <c:pt idx="597">
                  <c:v>30.837665457428443</c:v>
                </c:pt>
                <c:pt idx="598">
                  <c:v>30.907447045315209</c:v>
                </c:pt>
                <c:pt idx="599">
                  <c:v>30.977186689595342</c:v>
                </c:pt>
                <c:pt idx="600">
                  <c:v>31.046883876564078</c:v>
                </c:pt>
                <c:pt idx="601">
                  <c:v>31.116538092516663</c:v>
                </c:pt>
                <c:pt idx="602">
                  <c:v>31.186148823748333</c:v>
                </c:pt>
                <c:pt idx="603">
                  <c:v>31.255715556554346</c:v>
                </c:pt>
                <c:pt idx="604">
                  <c:v>31.325237777229926</c:v>
                </c:pt>
                <c:pt idx="605">
                  <c:v>31.394714972070318</c:v>
                </c:pt>
                <c:pt idx="606">
                  <c:v>31.464146627370777</c:v>
                </c:pt>
                <c:pt idx="607">
                  <c:v>31.533532229426534</c:v>
                </c:pt>
                <c:pt idx="608">
                  <c:v>31.602871264532844</c:v>
                </c:pt>
                <c:pt idx="609">
                  <c:v>31.67216321898492</c:v>
                </c:pt>
                <c:pt idx="610">
                  <c:v>31.741407579078043</c:v>
                </c:pt>
                <c:pt idx="611">
                  <c:v>31.810603831107429</c:v>
                </c:pt>
                <c:pt idx="612">
                  <c:v>31.879751461368322</c:v>
                </c:pt>
                <c:pt idx="613">
                  <c:v>31.948849956155982</c:v>
                </c:pt>
                <c:pt idx="614">
                  <c:v>32.017898801765632</c:v>
                </c:pt>
                <c:pt idx="615">
                  <c:v>32.086897484492525</c:v>
                </c:pt>
                <c:pt idx="616">
                  <c:v>32.15584549063189</c:v>
                </c:pt>
                <c:pt idx="617">
                  <c:v>32.224742306478994</c:v>
                </c:pt>
                <c:pt idx="618">
                  <c:v>32.293587418329054</c:v>
                </c:pt>
                <c:pt idx="619">
                  <c:v>32.362380312477327</c:v>
                </c:pt>
                <c:pt idx="620">
                  <c:v>32.431120475219046</c:v>
                </c:pt>
                <c:pt idx="621">
                  <c:v>32.499807392849476</c:v>
                </c:pt>
                <c:pt idx="622">
                  <c:v>32.568440551663826</c:v>
                </c:pt>
                <c:pt idx="623">
                  <c:v>32.637019437957349</c:v>
                </c:pt>
                <c:pt idx="624">
                  <c:v>32.705543538025303</c:v>
                </c:pt>
                <c:pt idx="625">
                  <c:v>32.774012338162919</c:v>
                </c:pt>
                <c:pt idx="626">
                  <c:v>32.842425324665435</c:v>
                </c:pt>
                <c:pt idx="627">
                  <c:v>32.910781983828102</c:v>
                </c:pt>
                <c:pt idx="628">
                  <c:v>32.979081801946151</c:v>
                </c:pt>
                <c:pt idx="629">
                  <c:v>33.047324265314842</c:v>
                </c:pt>
                <c:pt idx="630">
                  <c:v>33.115508860229404</c:v>
                </c:pt>
                <c:pt idx="631">
                  <c:v>33.183635072985076</c:v>
                </c:pt>
                <c:pt idx="632">
                  <c:v>33.25170238987711</c:v>
                </c:pt>
                <c:pt idx="633">
                  <c:v>33.31971029720075</c:v>
                </c:pt>
                <c:pt idx="634">
                  <c:v>33.387658281251227</c:v>
                </c:pt>
                <c:pt idx="635">
                  <c:v>33.455545828323785</c:v>
                </c:pt>
                <c:pt idx="636">
                  <c:v>33.523372424713685</c:v>
                </c:pt>
                <c:pt idx="637">
                  <c:v>33.591137556716141</c:v>
                </c:pt>
                <c:pt idx="638">
                  <c:v>33.658840710626414</c:v>
                </c:pt>
                <c:pt idx="639">
                  <c:v>33.726481372739741</c:v>
                </c:pt>
                <c:pt idx="640">
                  <c:v>33.794059029351367</c:v>
                </c:pt>
                <c:pt idx="641">
                  <c:v>33.861573166756536</c:v>
                </c:pt>
                <c:pt idx="642">
                  <c:v>33.929023271250479</c:v>
                </c:pt>
                <c:pt idx="643">
                  <c:v>33.996408829128448</c:v>
                </c:pt>
                <c:pt idx="644">
                  <c:v>34.063729326685682</c:v>
                </c:pt>
                <c:pt idx="645">
                  <c:v>34.130984250217423</c:v>
                </c:pt>
                <c:pt idx="646">
                  <c:v>34.198173086018919</c:v>
                </c:pt>
                <c:pt idx="647">
                  <c:v>34.265295320385405</c:v>
                </c:pt>
                <c:pt idx="648">
                  <c:v>34.332350439612128</c:v>
                </c:pt>
                <c:pt idx="649">
                  <c:v>34.399337929994324</c:v>
                </c:pt>
                <c:pt idx="650">
                  <c:v>34.466257277827239</c:v>
                </c:pt>
                <c:pt idx="651">
                  <c:v>34.533107969406124</c:v>
                </c:pt>
                <c:pt idx="652">
                  <c:v>34.599889491026204</c:v>
                </c:pt>
                <c:pt idx="653">
                  <c:v>34.666601328982736</c:v>
                </c:pt>
                <c:pt idx="654">
                  <c:v>34.733242969570952</c:v>
                </c:pt>
                <c:pt idx="655">
                  <c:v>34.799813899086111</c:v>
                </c:pt>
                <c:pt idx="656">
                  <c:v>34.866313603823436</c:v>
                </c:pt>
                <c:pt idx="657">
                  <c:v>34.932741570078171</c:v>
                </c:pt>
                <c:pt idx="658">
                  <c:v>34.99909728414557</c:v>
                </c:pt>
                <c:pt idx="659">
                  <c:v>35.065380232320877</c:v>
                </c:pt>
                <c:pt idx="660">
                  <c:v>35.131589900899314</c:v>
                </c:pt>
                <c:pt idx="661">
                  <c:v>35.197725776176128</c:v>
                </c:pt>
                <c:pt idx="662">
                  <c:v>35.263787344446591</c:v>
                </c:pt>
                <c:pt idx="663">
                  <c:v>35.329774092005913</c:v>
                </c:pt>
                <c:pt idx="664">
                  <c:v>35.395685505149345</c:v>
                </c:pt>
                <c:pt idx="665">
                  <c:v>35.461521070172125</c:v>
                </c:pt>
                <c:pt idx="666">
                  <c:v>35.527280273369506</c:v>
                </c:pt>
                <c:pt idx="667">
                  <c:v>35.592962601036731</c:v>
                </c:pt>
                <c:pt idx="668">
                  <c:v>35.658567539469033</c:v>
                </c:pt>
                <c:pt idx="669">
                  <c:v>35.724094574961661</c:v>
                </c:pt>
                <c:pt idx="670">
                  <c:v>35.789543193809848</c:v>
                </c:pt>
                <c:pt idx="671">
                  <c:v>35.854912882308852</c:v>
                </c:pt>
                <c:pt idx="672">
                  <c:v>35.920203126753897</c:v>
                </c:pt>
                <c:pt idx="673">
                  <c:v>35.985413413440241</c:v>
                </c:pt>
                <c:pt idx="674">
                  <c:v>36.050543228663116</c:v>
                </c:pt>
                <c:pt idx="675">
                  <c:v>36.115592058717766</c:v>
                </c:pt>
                <c:pt idx="676">
                  <c:v>36.180559389899443</c:v>
                </c:pt>
                <c:pt idx="677">
                  <c:v>36.245444708503371</c:v>
                </c:pt>
                <c:pt idx="678">
                  <c:v>36.310247500824801</c:v>
                </c:pt>
                <c:pt idx="679">
                  <c:v>36.374967253158985</c:v>
                </c:pt>
                <c:pt idx="680">
                  <c:v>36.439603451801155</c:v>
                </c:pt>
                <c:pt idx="681">
                  <c:v>36.504155583046554</c:v>
                </c:pt>
                <c:pt idx="682">
                  <c:v>36.568623133190428</c:v>
                </c:pt>
                <c:pt idx="683">
                  <c:v>36.633005588528015</c:v>
                </c:pt>
                <c:pt idx="684">
                  <c:v>36.697302435354558</c:v>
                </c:pt>
                <c:pt idx="685">
                  <c:v>36.761513159965304</c:v>
                </c:pt>
                <c:pt idx="686">
                  <c:v>36.825637248655497</c:v>
                </c:pt>
                <c:pt idx="687">
                  <c:v>36.88967418772036</c:v>
                </c:pt>
                <c:pt idx="688">
                  <c:v>36.953623463455159</c:v>
                </c:pt>
                <c:pt idx="689">
                  <c:v>37.017484562155126</c:v>
                </c:pt>
                <c:pt idx="690">
                  <c:v>37.081256970115504</c:v>
                </c:pt>
                <c:pt idx="691">
                  <c:v>37.144940173631539</c:v>
                </c:pt>
                <c:pt idx="692">
                  <c:v>37.208533658998462</c:v>
                </c:pt>
                <c:pt idx="693">
                  <c:v>37.272036912511531</c:v>
                </c:pt>
                <c:pt idx="694">
                  <c:v>37.33544942046597</c:v>
                </c:pt>
                <c:pt idx="695">
                  <c:v>37.398770669157038</c:v>
                </c:pt>
                <c:pt idx="696">
                  <c:v>37.462000144879966</c:v>
                </c:pt>
                <c:pt idx="697">
                  <c:v>37.525137333930005</c:v>
                </c:pt>
                <c:pt idx="698">
                  <c:v>37.5881817226024</c:v>
                </c:pt>
                <c:pt idx="699">
                  <c:v>37.651132797192382</c:v>
                </c:pt>
                <c:pt idx="700">
                  <c:v>37.713990043995196</c:v>
                </c:pt>
                <c:pt idx="701">
                  <c:v>37.776752949306079</c:v>
                </c:pt>
                <c:pt idx="702">
                  <c:v>37.839420999420291</c:v>
                </c:pt>
                <c:pt idx="703">
                  <c:v>37.901993680633055</c:v>
                </c:pt>
                <c:pt idx="704">
                  <c:v>37.96447047923963</c:v>
                </c:pt>
                <c:pt idx="705">
                  <c:v>38.026850881535246</c:v>
                </c:pt>
                <c:pt idx="706">
                  <c:v>38.089134373815149</c:v>
                </c:pt>
                <c:pt idx="707">
                  <c:v>38.151320442374583</c:v>
                </c:pt>
                <c:pt idx="708">
                  <c:v>38.213408573508787</c:v>
                </c:pt>
                <c:pt idx="709">
                  <c:v>38.275398253513004</c:v>
                </c:pt>
                <c:pt idx="710">
                  <c:v>38.337288968682486</c:v>
                </c:pt>
                <c:pt idx="711">
                  <c:v>38.399080205312472</c:v>
                </c:pt>
                <c:pt idx="712">
                  <c:v>38.460771449698186</c:v>
                </c:pt>
                <c:pt idx="713">
                  <c:v>38.522362188134892</c:v>
                </c:pt>
                <c:pt idx="714">
                  <c:v>38.583851906917815</c:v>
                </c:pt>
                <c:pt idx="715">
                  <c:v>38.645240092342206</c:v>
                </c:pt>
                <c:pt idx="716">
                  <c:v>38.706526230703318</c:v>
                </c:pt>
                <c:pt idx="717">
                  <c:v>38.767709808296381</c:v>
                </c:pt>
                <c:pt idx="718">
                  <c:v>38.828790311416633</c:v>
                </c:pt>
                <c:pt idx="719">
                  <c:v>38.889767226359325</c:v>
                </c:pt>
                <c:pt idx="720">
                  <c:v>38.950640039419696</c:v>
                </c:pt>
                <c:pt idx="721">
                  <c:v>39.01140823689299</c:v>
                </c:pt>
                <c:pt idx="722">
                  <c:v>39.072071305074445</c:v>
                </c:pt>
                <c:pt idx="723">
                  <c:v>39.132628730259313</c:v>
                </c:pt>
                <c:pt idx="724">
                  <c:v>39.193079998742817</c:v>
                </c:pt>
                <c:pt idx="725">
                  <c:v>39.253424596820224</c:v>
                </c:pt>
                <c:pt idx="726">
                  <c:v>39.313662010786757</c:v>
                </c:pt>
                <c:pt idx="727">
                  <c:v>39.373791726937668</c:v>
                </c:pt>
                <c:pt idx="728">
                  <c:v>39.433813231568209</c:v>
                </c:pt>
                <c:pt idx="729">
                  <c:v>39.493726010973589</c:v>
                </c:pt>
                <c:pt idx="730">
                  <c:v>39.553529551449088</c:v>
                </c:pt>
                <c:pt idx="731">
                  <c:v>39.613223339289917</c:v>
                </c:pt>
                <c:pt idx="732">
                  <c:v>39.672806860791347</c:v>
                </c:pt>
                <c:pt idx="733">
                  <c:v>39.732279602248596</c:v>
                </c:pt>
                <c:pt idx="734">
                  <c:v>39.791641049956922</c:v>
                </c:pt>
                <c:pt idx="735">
                  <c:v>39.850890690211571</c:v>
                </c:pt>
                <c:pt idx="736">
                  <c:v>39.910028009307766</c:v>
                </c:pt>
                <c:pt idx="737">
                  <c:v>39.969052493540751</c:v>
                </c:pt>
                <c:pt idx="738">
                  <c:v>40.027963629205786</c:v>
                </c:pt>
                <c:pt idx="739">
                  <c:v>40.086760902598108</c:v>
                </c:pt>
                <c:pt idx="740">
                  <c:v>40.145443800012956</c:v>
                </c:pt>
                <c:pt idx="741">
                  <c:v>40.204011807745559</c:v>
                </c:pt>
                <c:pt idx="742">
                  <c:v>40.262464412091177</c:v>
                </c:pt>
                <c:pt idx="743">
                  <c:v>40.320801099345047</c:v>
                </c:pt>
                <c:pt idx="744">
                  <c:v>40.379021355802422</c:v>
                </c:pt>
                <c:pt idx="745">
                  <c:v>40.437124667758511</c:v>
                </c:pt>
                <c:pt idx="746">
                  <c:v>40.495110521508607</c:v>
                </c:pt>
                <c:pt idx="747">
                  <c:v>40.552978403347915</c:v>
                </c:pt>
                <c:pt idx="748">
                  <c:v>40.610727799571677</c:v>
                </c:pt>
                <c:pt idx="749">
                  <c:v>40.668358196475154</c:v>
                </c:pt>
                <c:pt idx="750">
                  <c:v>40.725869080353576</c:v>
                </c:pt>
                <c:pt idx="751">
                  <c:v>40.78325993750218</c:v>
                </c:pt>
                <c:pt idx="752">
                  <c:v>40.840530254216219</c:v>
                </c:pt>
                <c:pt idx="753">
                  <c:v>40.897679516790959</c:v>
                </c:pt>
                <c:pt idx="754">
                  <c:v>40.95470721152158</c:v>
                </c:pt>
                <c:pt idx="755">
                  <c:v>41.011612824703391</c:v>
                </c:pt>
                <c:pt idx="756">
                  <c:v>41.068395842631574</c:v>
                </c:pt>
                <c:pt idx="757">
                  <c:v>41.125055751601423</c:v>
                </c:pt>
                <c:pt idx="758">
                  <c:v>41.181592037908153</c:v>
                </c:pt>
                <c:pt idx="759">
                  <c:v>41.238004187847011</c:v>
                </c:pt>
                <c:pt idx="760">
                  <c:v>41.29429168771324</c:v>
                </c:pt>
                <c:pt idx="761">
                  <c:v>41.350454023802087</c:v>
                </c:pt>
                <c:pt idx="762">
                  <c:v>41.406490682408773</c:v>
                </c:pt>
                <c:pt idx="763">
                  <c:v>41.462401149828565</c:v>
                </c:pt>
                <c:pt idx="764">
                  <c:v>41.518184912356716</c:v>
                </c:pt>
                <c:pt idx="765">
                  <c:v>41.573841456288434</c:v>
                </c:pt>
                <c:pt idx="766">
                  <c:v>41.629370267918972</c:v>
                </c:pt>
                <c:pt idx="767">
                  <c:v>41.684770833543581</c:v>
                </c:pt>
                <c:pt idx="768">
                  <c:v>41.740042639457499</c:v>
                </c:pt>
                <c:pt idx="769">
                  <c:v>41.795185171955971</c:v>
                </c:pt>
                <c:pt idx="770">
                  <c:v>41.850197917334235</c:v>
                </c:pt>
                <c:pt idx="771">
                  <c:v>41.905080361887528</c:v>
                </c:pt>
                <c:pt idx="772">
                  <c:v>41.959831991911109</c:v>
                </c:pt>
                <c:pt idx="773">
                  <c:v>42.014452293700217</c:v>
                </c:pt>
                <c:pt idx="774">
                  <c:v>42.068940753550081</c:v>
                </c:pt>
                <c:pt idx="775">
                  <c:v>42.123296857755939</c:v>
                </c:pt>
                <c:pt idx="776">
                  <c:v>42.177520092613065</c:v>
                </c:pt>
                <c:pt idx="777">
                  <c:v>42.231609944416661</c:v>
                </c:pt>
                <c:pt idx="778">
                  <c:v>42.285565899462007</c:v>
                </c:pt>
                <c:pt idx="779">
                  <c:v>42.339387444044313</c:v>
                </c:pt>
                <c:pt idx="780">
                  <c:v>42.393074064458851</c:v>
                </c:pt>
                <c:pt idx="781">
                  <c:v>42.446625247000831</c:v>
                </c:pt>
                <c:pt idx="782">
                  <c:v>42.500040477965527</c:v>
                </c:pt>
                <c:pt idx="783">
                  <c:v>42.553319243648154</c:v>
                </c:pt>
                <c:pt idx="784">
                  <c:v>42.606461030343965</c:v>
                </c:pt>
                <c:pt idx="785">
                  <c:v>42.659465324348218</c:v>
                </c:pt>
                <c:pt idx="786">
                  <c:v>42.712331611956131</c:v>
                </c:pt>
                <c:pt idx="787">
                  <c:v>42.765059379462969</c:v>
                </c:pt>
                <c:pt idx="788">
                  <c:v>42.817648113163948</c:v>
                </c:pt>
                <c:pt idx="789">
                  <c:v>42.870097299354327</c:v>
                </c:pt>
                <c:pt idx="790">
                  <c:v>42.92240642432936</c:v>
                </c:pt>
                <c:pt idx="791">
                  <c:v>42.974574974384254</c:v>
                </c:pt>
                <c:pt idx="792">
                  <c:v>43.026602435814283</c:v>
                </c:pt>
                <c:pt idx="793">
                  <c:v>43.078488294914678</c:v>
                </c:pt>
                <c:pt idx="794">
                  <c:v>43.13023203798069</c:v>
                </c:pt>
                <c:pt idx="795">
                  <c:v>43.181833151307536</c:v>
                </c:pt>
                <c:pt idx="796">
                  <c:v>43.233291121190483</c:v>
                </c:pt>
                <c:pt idx="797">
                  <c:v>43.28460543392476</c:v>
                </c:pt>
                <c:pt idx="798">
                  <c:v>43.335775575805627</c:v>
                </c:pt>
                <c:pt idx="799">
                  <c:v>43.386801033128307</c:v>
                </c:pt>
                <c:pt idx="800">
                  <c:v>43.437681292188053</c:v>
                </c:pt>
                <c:pt idx="801">
                  <c:v>43.488415839280101</c:v>
                </c:pt>
                <c:pt idx="802">
                  <c:v>43.539004160699697</c:v>
                </c:pt>
                <c:pt idx="803">
                  <c:v>43.589445742742072</c:v>
                </c:pt>
                <c:pt idx="804">
                  <c:v>43.639740071702491</c:v>
                </c:pt>
                <c:pt idx="805">
                  <c:v>43.689886633876171</c:v>
                </c:pt>
                <c:pt idx="806">
                  <c:v>43.739884915558392</c:v>
                </c:pt>
                <c:pt idx="807">
                  <c:v>43.789734403044342</c:v>
                </c:pt>
                <c:pt idx="808">
                  <c:v>43.839434582629316</c:v>
                </c:pt>
                <c:pt idx="809">
                  <c:v>43.888984940608516</c:v>
                </c:pt>
                <c:pt idx="810">
                  <c:v>43.938384963277215</c:v>
                </c:pt>
                <c:pt idx="811">
                  <c:v>43.98763413693063</c:v>
                </c:pt>
                <c:pt idx="812">
                  <c:v>44.036731947864027</c:v>
                </c:pt>
                <c:pt idx="813">
                  <c:v>44.085677882372629</c:v>
                </c:pt>
                <c:pt idx="814">
                  <c:v>44.134471426751681</c:v>
                </c:pt>
                <c:pt idx="815">
                  <c:v>44.183112067296427</c:v>
                </c:pt>
                <c:pt idx="816">
                  <c:v>44.231599290302128</c:v>
                </c:pt>
                <c:pt idx="817">
                  <c:v>44.279932582063999</c:v>
                </c:pt>
                <c:pt idx="818">
                  <c:v>44.3281114288773</c:v>
                </c:pt>
                <c:pt idx="819">
                  <c:v>44.376135317037267</c:v>
                </c:pt>
                <c:pt idx="820">
                  <c:v>44.424003732839125</c:v>
                </c:pt>
                <c:pt idx="821">
                  <c:v>44.471716162578154</c:v>
                </c:pt>
                <c:pt idx="822">
                  <c:v>44.519272092549571</c:v>
                </c:pt>
                <c:pt idx="823">
                  <c:v>44.566671009048619</c:v>
                </c:pt>
                <c:pt idx="824">
                  <c:v>44.613912398370545</c:v>
                </c:pt>
                <c:pt idx="825">
                  <c:v>44.660995746810592</c:v>
                </c:pt>
                <c:pt idx="826">
                  <c:v>44.707920540663991</c:v>
                </c:pt>
                <c:pt idx="827">
                  <c:v>44.754686266226003</c:v>
                </c:pt>
                <c:pt idx="828">
                  <c:v>44.80129240979187</c:v>
                </c:pt>
                <c:pt idx="829">
                  <c:v>44.84773845765681</c:v>
                </c:pt>
                <c:pt idx="830">
                  <c:v>44.894023896116089</c:v>
                </c:pt>
                <c:pt idx="831">
                  <c:v>44.940148211464944</c:v>
                </c:pt>
                <c:pt idx="832">
                  <c:v>44.986110889998606</c:v>
                </c:pt>
                <c:pt idx="833">
                  <c:v>45.031911418012342</c:v>
                </c:pt>
                <c:pt idx="834">
                  <c:v>45.077549281801367</c:v>
                </c:pt>
                <c:pt idx="835">
                  <c:v>45.123023967660927</c:v>
                </c:pt>
                <c:pt idx="836">
                  <c:v>45.168334961886281</c:v>
                </c:pt>
                <c:pt idx="837">
                  <c:v>45.213481750772658</c:v>
                </c:pt>
                <c:pt idx="838">
                  <c:v>45.258463820615304</c:v>
                </c:pt>
                <c:pt idx="839">
                  <c:v>45.303280657709458</c:v>
                </c:pt>
                <c:pt idx="840">
                  <c:v>45.347931748350376</c:v>
                </c:pt>
                <c:pt idx="841">
                  <c:v>45.392416578833284</c:v>
                </c:pt>
                <c:pt idx="842">
                  <c:v>45.436734635453433</c:v>
                </c:pt>
                <c:pt idx="843">
                  <c:v>45.480885404506061</c:v>
                </c:pt>
                <c:pt idx="844">
                  <c:v>45.52486837228642</c:v>
                </c:pt>
                <c:pt idx="845">
                  <c:v>45.568683025089733</c:v>
                </c:pt>
                <c:pt idx="846">
                  <c:v>45.612328849211252</c:v>
                </c:pt>
                <c:pt idx="847">
                  <c:v>45.65580533094623</c:v>
                </c:pt>
                <c:pt idx="848">
                  <c:v>45.699111956589896</c:v>
                </c:pt>
                <c:pt idx="849">
                  <c:v>45.742248212437502</c:v>
                </c:pt>
                <c:pt idx="850">
                  <c:v>45.78521358478428</c:v>
                </c:pt>
                <c:pt idx="851">
                  <c:v>45.828007559925467</c:v>
                </c:pt>
                <c:pt idx="852">
                  <c:v>45.870629624156322</c:v>
                </c:pt>
                <c:pt idx="853">
                  <c:v>45.91307926377209</c:v>
                </c:pt>
                <c:pt idx="854">
                  <c:v>45.955355965067987</c:v>
                </c:pt>
                <c:pt idx="855">
                  <c:v>45.997459214339294</c:v>
                </c:pt>
                <c:pt idx="856">
                  <c:v>46.03938849788122</c:v>
                </c:pt>
                <c:pt idx="857">
                  <c:v>46.081143301989016</c:v>
                </c:pt>
                <c:pt idx="858">
                  <c:v>46.122723112957928</c:v>
                </c:pt>
                <c:pt idx="859">
                  <c:v>46.164127417083193</c:v>
                </c:pt>
                <c:pt idx="860">
                  <c:v>46.205355700660071</c:v>
                </c:pt>
                <c:pt idx="861">
                  <c:v>46.246407449983778</c:v>
                </c:pt>
                <c:pt idx="862">
                  <c:v>46.287282151349572</c:v>
                </c:pt>
                <c:pt idx="863">
                  <c:v>46.327979291052685</c:v>
                </c:pt>
                <c:pt idx="864">
                  <c:v>46.368498355388382</c:v>
                </c:pt>
                <c:pt idx="865">
                  <c:v>46.408838830651888</c:v>
                </c:pt>
                <c:pt idx="866">
                  <c:v>46.449000203138446</c:v>
                </c:pt>
                <c:pt idx="867">
                  <c:v>46.488981959143295</c:v>
                </c:pt>
                <c:pt idx="868">
                  <c:v>46.52878358496168</c:v>
                </c:pt>
                <c:pt idx="869">
                  <c:v>46.568404566888859</c:v>
                </c:pt>
                <c:pt idx="870">
                  <c:v>46.607844391220034</c:v>
                </c:pt>
                <c:pt idx="871">
                  <c:v>46.647102544250494</c:v>
                </c:pt>
                <c:pt idx="872">
                  <c:v>46.686178512275454</c:v>
                </c:pt>
                <c:pt idx="873">
                  <c:v>46.725071781590174</c:v>
                </c:pt>
                <c:pt idx="874">
                  <c:v>46.763781838489876</c:v>
                </c:pt>
                <c:pt idx="875">
                  <c:v>46.8023081692698</c:v>
                </c:pt>
                <c:pt idx="876">
                  <c:v>46.840650260225217</c:v>
                </c:pt>
                <c:pt idx="877">
                  <c:v>46.878807597651353</c:v>
                </c:pt>
                <c:pt idx="878">
                  <c:v>46.916779667843443</c:v>
                </c:pt>
                <c:pt idx="879">
                  <c:v>46.954565957096733</c:v>
                </c:pt>
                <c:pt idx="880">
                  <c:v>46.992165951706482</c:v>
                </c:pt>
                <c:pt idx="881">
                  <c:v>47.029579137967914</c:v>
                </c:pt>
                <c:pt idx="882">
                  <c:v>47.066805002176267</c:v>
                </c:pt>
                <c:pt idx="883">
                  <c:v>47.103843030626791</c:v>
                </c:pt>
                <c:pt idx="884">
                  <c:v>47.14069270961474</c:v>
                </c:pt>
                <c:pt idx="885">
                  <c:v>47.177353525435343</c:v>
                </c:pt>
                <c:pt idx="886">
                  <c:v>47.213824964383846</c:v>
                </c:pt>
                <c:pt idx="887">
                  <c:v>47.25010651275548</c:v>
                </c:pt>
                <c:pt idx="888">
                  <c:v>47.286197656845509</c:v>
                </c:pt>
                <c:pt idx="889">
                  <c:v>47.322097882949151</c:v>
                </c:pt>
                <c:pt idx="890">
                  <c:v>47.35780667736168</c:v>
                </c:pt>
                <c:pt idx="891">
                  <c:v>47.393323526378296</c:v>
                </c:pt>
                <c:pt idx="892">
                  <c:v>47.428647916294288</c:v>
                </c:pt>
                <c:pt idx="893">
                  <c:v>47.463779333404851</c:v>
                </c:pt>
                <c:pt idx="894">
                  <c:v>47.498717264005272</c:v>
                </c:pt>
                <c:pt idx="895">
                  <c:v>47.533461194390767</c:v>
                </c:pt>
                <c:pt idx="896">
                  <c:v>47.568010610856575</c:v>
                </c:pt>
                <c:pt idx="897">
                  <c:v>47.602364999697961</c:v>
                </c:pt>
                <c:pt idx="898">
                  <c:v>47.636523847210142</c:v>
                </c:pt>
                <c:pt idx="899">
                  <c:v>47.670486639688377</c:v>
                </c:pt>
                <c:pt idx="900">
                  <c:v>47.704252863427911</c:v>
                </c:pt>
                <c:pt idx="901">
                  <c:v>47.737822004723959</c:v>
                </c:pt>
                <c:pt idx="902">
                  <c:v>47.771193549871796</c:v>
                </c:pt>
                <c:pt idx="903">
                  <c:v>47.804366985166652</c:v>
                </c:pt>
                <c:pt idx="904">
                  <c:v>47.837341796903758</c:v>
                </c:pt>
                <c:pt idx="905">
                  <c:v>47.870117471378364</c:v>
                </c:pt>
                <c:pt idx="906">
                  <c:v>47.902693494885732</c:v>
                </c:pt>
                <c:pt idx="907">
                  <c:v>47.935069353721076</c:v>
                </c:pt>
                <c:pt idx="908">
                  <c:v>47.967244534179656</c:v>
                </c:pt>
                <c:pt idx="909">
                  <c:v>47.999218522556696</c:v>
                </c:pt>
                <c:pt idx="910">
                  <c:v>48.030990805147454</c:v>
                </c:pt>
                <c:pt idx="911">
                  <c:v>48.062560868247175</c:v>
                </c:pt>
                <c:pt idx="912">
                  <c:v>48.09392819815109</c:v>
                </c:pt>
                <c:pt idx="913">
                  <c:v>48.125092281154437</c:v>
                </c:pt>
                <c:pt idx="914">
                  <c:v>48.156052603552475</c:v>
                </c:pt>
                <c:pt idx="915">
                  <c:v>48.18680865164044</c:v>
                </c:pt>
                <c:pt idx="916">
                  <c:v>48.217359911713572</c:v>
                </c:pt>
                <c:pt idx="917">
                  <c:v>48.247705870067115</c:v>
                </c:pt>
                <c:pt idx="918">
                  <c:v>48.277846012996307</c:v>
                </c:pt>
                <c:pt idx="919">
                  <c:v>48.307779826796398</c:v>
                </c:pt>
                <c:pt idx="920">
                  <c:v>48.337506797762614</c:v>
                </c:pt>
                <c:pt idx="921">
                  <c:v>48.367026412190221</c:v>
                </c:pt>
                <c:pt idx="922">
                  <c:v>48.396338156374448</c:v>
                </c:pt>
                <c:pt idx="923">
                  <c:v>48.425441516610526</c:v>
                </c:pt>
                <c:pt idx="924">
                  <c:v>48.454335979193722</c:v>
                </c:pt>
                <c:pt idx="925">
                  <c:v>48.483021030419266</c:v>
                </c:pt>
                <c:pt idx="926">
                  <c:v>48.511496156582389</c:v>
                </c:pt>
                <c:pt idx="927">
                  <c:v>48.539760843978364</c:v>
                </c:pt>
                <c:pt idx="928">
                  <c:v>48.5678145789024</c:v>
                </c:pt>
                <c:pt idx="929">
                  <c:v>48.595656847649749</c:v>
                </c:pt>
                <c:pt idx="930">
                  <c:v>48.623287136515671</c:v>
                </c:pt>
                <c:pt idx="931">
                  <c:v>48.650704931795389</c:v>
                </c:pt>
                <c:pt idx="932">
                  <c:v>48.677909719784139</c:v>
                </c:pt>
                <c:pt idx="933">
                  <c:v>48.70490098677719</c:v>
                </c:pt>
                <c:pt idx="934">
                  <c:v>48.731678219069771</c:v>
                </c:pt>
                <c:pt idx="935">
                  <c:v>48.758240902957127</c:v>
                </c:pt>
                <c:pt idx="936">
                  <c:v>48.784588524734481</c:v>
                </c:pt>
                <c:pt idx="937">
                  <c:v>48.8107205706971</c:v>
                </c:pt>
                <c:pt idx="938">
                  <c:v>48.836636527140215</c:v>
                </c:pt>
                <c:pt idx="939">
                  <c:v>48.862335880359069</c:v>
                </c:pt>
                <c:pt idx="940">
                  <c:v>48.887818116648909</c:v>
                </c:pt>
                <c:pt idx="941">
                  <c:v>48.913082722304964</c:v>
                </c:pt>
                <c:pt idx="942">
                  <c:v>48.938129183622486</c:v>
                </c:pt>
                <c:pt idx="943">
                  <c:v>48.962956986896728</c:v>
                </c:pt>
                <c:pt idx="944">
                  <c:v>48.98756561842292</c:v>
                </c:pt>
                <c:pt idx="945">
                  <c:v>49.0119545644963</c:v>
                </c:pt>
                <c:pt idx="946">
                  <c:v>49.036123311412119</c:v>
                </c:pt>
                <c:pt idx="947">
                  <c:v>49.060071345465616</c:v>
                </c:pt>
                <c:pt idx="948">
                  <c:v>49.083798152952028</c:v>
                </c:pt>
                <c:pt idx="949">
                  <c:v>49.107303220166614</c:v>
                </c:pt>
                <c:pt idx="950">
                  <c:v>49.130586033404597</c:v>
                </c:pt>
                <c:pt idx="951">
                  <c:v>49.153646078961224</c:v>
                </c:pt>
                <c:pt idx="952">
                  <c:v>49.176482843131758</c:v>
                </c:pt>
                <c:pt idx="953">
                  <c:v>49.199095812211411</c:v>
                </c:pt>
                <c:pt idx="954">
                  <c:v>49.221484472495433</c:v>
                </c:pt>
                <c:pt idx="955">
                  <c:v>49.243648310279085</c:v>
                </c:pt>
                <c:pt idx="956">
                  <c:v>49.265586811857588</c:v>
                </c:pt>
                <c:pt idx="957">
                  <c:v>49.287299463526196</c:v>
                </c:pt>
                <c:pt idx="958">
                  <c:v>49.308785751580146</c:v>
                </c:pt>
                <c:pt idx="959">
                  <c:v>49.330045162314676</c:v>
                </c:pt>
                <c:pt idx="960">
                  <c:v>49.351077182025037</c:v>
                </c:pt>
                <c:pt idx="961">
                  <c:v>49.371881297006482</c:v>
                </c:pt>
                <c:pt idx="962">
                  <c:v>49.392456993554219</c:v>
                </c:pt>
                <c:pt idx="963">
                  <c:v>49.412803757963516</c:v>
                </c:pt>
                <c:pt idx="964">
                  <c:v>49.432921076529624</c:v>
                </c:pt>
                <c:pt idx="965">
                  <c:v>49.452808435547759</c:v>
                </c:pt>
                <c:pt idx="966">
                  <c:v>49.47246532131318</c:v>
                </c:pt>
                <c:pt idx="967">
                  <c:v>49.491891220121119</c:v>
                </c:pt>
                <c:pt idx="968">
                  <c:v>49.511085618266826</c:v>
                </c:pt>
                <c:pt idx="969">
                  <c:v>49.530048002045547</c:v>
                </c:pt>
                <c:pt idx="970">
                  <c:v>49.548777857752512</c:v>
                </c:pt>
                <c:pt idx="971">
                  <c:v>49.567274671682981</c:v>
                </c:pt>
                <c:pt idx="972">
                  <c:v>49.585537930132176</c:v>
                </c:pt>
                <c:pt idx="973">
                  <c:v>49.603567119395358</c:v>
                </c:pt>
                <c:pt idx="974">
                  <c:v>49.621361725767756</c:v>
                </c:pt>
                <c:pt idx="975">
                  <c:v>49.638921235544615</c:v>
                </c:pt>
                <c:pt idx="976">
                  <c:v>49.656245135021166</c:v>
                </c:pt>
                <c:pt idx="977">
                  <c:v>49.673332910492682</c:v>
                </c:pt>
                <c:pt idx="978">
                  <c:v>49.69018404825438</c:v>
                </c:pt>
                <c:pt idx="979">
                  <c:v>49.706798034601512</c:v>
                </c:pt>
                <c:pt idx="980">
                  <c:v>49.723174355829315</c:v>
                </c:pt>
                <c:pt idx="981">
                  <c:v>49.739312498233033</c:v>
                </c:pt>
                <c:pt idx="982">
                  <c:v>49.75521194810792</c:v>
                </c:pt>
                <c:pt idx="983">
                  <c:v>49.770872191749191</c:v>
                </c:pt>
                <c:pt idx="984">
                  <c:v>49.78629271545212</c:v>
                </c:pt>
                <c:pt idx="985">
                  <c:v>49.801473005511923</c:v>
                </c:pt>
                <c:pt idx="986">
                  <c:v>49.816412548223859</c:v>
                </c:pt>
                <c:pt idx="987">
                  <c:v>49.831110829883166</c:v>
                </c:pt>
                <c:pt idx="988">
                  <c:v>49.845567336785081</c:v>
                </c:pt>
                <c:pt idx="989">
                  <c:v>49.859781555224849</c:v>
                </c:pt>
                <c:pt idx="990">
                  <c:v>49.873752971497716</c:v>
                </c:pt>
                <c:pt idx="991">
                  <c:v>49.887481071898925</c:v>
                </c:pt>
                <c:pt idx="992">
                  <c:v>49.900965342723708</c:v>
                </c:pt>
                <c:pt idx="993">
                  <c:v>49.914205270267324</c:v>
                </c:pt>
                <c:pt idx="994">
                  <c:v>49.927200340825003</c:v>
                </c:pt>
                <c:pt idx="995">
                  <c:v>49.939950040691983</c:v>
                </c:pt>
                <c:pt idx="996">
                  <c:v>49.952453856163515</c:v>
                </c:pt>
                <c:pt idx="997">
                  <c:v>49.964711273534846</c:v>
                </c:pt>
                <c:pt idx="998">
                  <c:v>49.976721779101211</c:v>
                </c:pt>
                <c:pt idx="999">
                  <c:v>49.98848485915785</c:v>
                </c:pt>
                <c:pt idx="1000">
                  <c:v>50.000000000000007</c:v>
                </c:pt>
                <c:pt idx="1001">
                  <c:v>51.000000000000007</c:v>
                </c:pt>
                <c:pt idx="1002">
                  <c:v>52.000000000000007</c:v>
                </c:pt>
                <c:pt idx="1003">
                  <c:v>53.000000000000007</c:v>
                </c:pt>
                <c:pt idx="1004">
                  <c:v>54.000000000000007</c:v>
                </c:pt>
                <c:pt idx="1005">
                  <c:v>55.000000000000007</c:v>
                </c:pt>
                <c:pt idx="1006">
                  <c:v>56.000000000000007</c:v>
                </c:pt>
                <c:pt idx="1007">
                  <c:v>57.000000000000007</c:v>
                </c:pt>
                <c:pt idx="1008">
                  <c:v>58.000000000000007</c:v>
                </c:pt>
                <c:pt idx="1009">
                  <c:v>59.000000000000007</c:v>
                </c:pt>
                <c:pt idx="1010">
                  <c:v>60.000000000000007</c:v>
                </c:pt>
                <c:pt idx="1011">
                  <c:v>61.000000000000007</c:v>
                </c:pt>
                <c:pt idx="1012">
                  <c:v>62.000000000000007</c:v>
                </c:pt>
                <c:pt idx="1013">
                  <c:v>63.000000000000007</c:v>
                </c:pt>
                <c:pt idx="1014">
                  <c:v>64</c:v>
                </c:pt>
                <c:pt idx="1015">
                  <c:v>65</c:v>
                </c:pt>
                <c:pt idx="1016">
                  <c:v>66</c:v>
                </c:pt>
                <c:pt idx="1017">
                  <c:v>67</c:v>
                </c:pt>
                <c:pt idx="1018">
                  <c:v>68</c:v>
                </c:pt>
                <c:pt idx="1019">
                  <c:v>69</c:v>
                </c:pt>
                <c:pt idx="1020">
                  <c:v>70</c:v>
                </c:pt>
                <c:pt idx="1021">
                  <c:v>71</c:v>
                </c:pt>
                <c:pt idx="1022">
                  <c:v>72</c:v>
                </c:pt>
                <c:pt idx="1023">
                  <c:v>73</c:v>
                </c:pt>
                <c:pt idx="1024">
                  <c:v>74</c:v>
                </c:pt>
                <c:pt idx="1025">
                  <c:v>75</c:v>
                </c:pt>
                <c:pt idx="1026">
                  <c:v>76</c:v>
                </c:pt>
                <c:pt idx="1027">
                  <c:v>77</c:v>
                </c:pt>
                <c:pt idx="1028">
                  <c:v>78</c:v>
                </c:pt>
                <c:pt idx="1029">
                  <c:v>79</c:v>
                </c:pt>
                <c:pt idx="1030">
                  <c:v>80</c:v>
                </c:pt>
                <c:pt idx="1031">
                  <c:v>81</c:v>
                </c:pt>
                <c:pt idx="1032">
                  <c:v>82</c:v>
                </c:pt>
                <c:pt idx="1033">
                  <c:v>83</c:v>
                </c:pt>
                <c:pt idx="1034">
                  <c:v>84</c:v>
                </c:pt>
                <c:pt idx="1035">
                  <c:v>85</c:v>
                </c:pt>
                <c:pt idx="1036">
                  <c:v>86</c:v>
                </c:pt>
                <c:pt idx="1037">
                  <c:v>87</c:v>
                </c:pt>
                <c:pt idx="1038">
                  <c:v>88</c:v>
                </c:pt>
                <c:pt idx="1039">
                  <c:v>89</c:v>
                </c:pt>
                <c:pt idx="1040">
                  <c:v>90</c:v>
                </c:pt>
                <c:pt idx="1041">
                  <c:v>91</c:v>
                </c:pt>
                <c:pt idx="1042">
                  <c:v>92</c:v>
                </c:pt>
                <c:pt idx="1043">
                  <c:v>93</c:v>
                </c:pt>
                <c:pt idx="1044">
                  <c:v>94</c:v>
                </c:pt>
                <c:pt idx="1045">
                  <c:v>95</c:v>
                </c:pt>
                <c:pt idx="1046">
                  <c:v>96</c:v>
                </c:pt>
                <c:pt idx="1047">
                  <c:v>97</c:v>
                </c:pt>
                <c:pt idx="1048">
                  <c:v>98</c:v>
                </c:pt>
                <c:pt idx="1049">
                  <c:v>99</c:v>
                </c:pt>
                <c:pt idx="1050">
                  <c:v>100</c:v>
                </c:pt>
              </c:numCache>
            </c:numRef>
          </c:xVal>
          <c:yVal>
            <c:numRef>
              <c:f>Sheet1!$J$8:$J$1058</c:f>
              <c:numCache>
                <c:formatCode>General</c:formatCode>
                <c:ptCount val="1051"/>
                <c:pt idx="0">
                  <c:v>0</c:v>
                </c:pt>
                <c:pt idx="1">
                  <c:v>2.351102099344484E-4</c:v>
                </c:pt>
                <c:pt idx="2">
                  <c:v>4.9014222936935635E-4</c:v>
                </c:pt>
                <c:pt idx="3">
                  <c:v>7.6505568366474911E-4</c:v>
                </c:pt>
                <c:pt idx="4">
                  <c:v>1.059810198180652E-3</c:v>
                </c:pt>
                <c:pt idx="5">
                  <c:v>1.3743653982770899E-3</c:v>
                </c:pt>
                <c:pt idx="6">
                  <c:v>1.7086809093140882E-3</c:v>
                </c:pt>
                <c:pt idx="7">
                  <c:v>2.0627163566516722E-3</c:v>
                </c:pt>
                <c:pt idx="8">
                  <c:v>2.436431365649866E-3</c:v>
                </c:pt>
                <c:pt idx="9">
                  <c:v>2.8297855616686973E-3</c:v>
                </c:pt>
                <c:pt idx="10">
                  <c:v>3.2427385700681891E-3</c:v>
                </c:pt>
                <c:pt idx="11">
                  <c:v>3.6752500162083677E-3</c:v>
                </c:pt>
                <c:pt idx="12">
                  <c:v>4.1272795254492572E-3</c:v>
                </c:pt>
                <c:pt idx="13">
                  <c:v>4.5987867231508835E-3</c:v>
                </c:pt>
                <c:pt idx="14">
                  <c:v>5.0897312346732714E-3</c:v>
                </c:pt>
                <c:pt idx="15">
                  <c:v>5.6000726853764476E-3</c:v>
                </c:pt>
                <c:pt idx="16">
                  <c:v>6.1297707006204355E-3</c:v>
                </c:pt>
                <c:pt idx="17">
                  <c:v>6.6787849057652606E-3</c:v>
                </c:pt>
                <c:pt idx="18">
                  <c:v>7.247074926170949E-3</c:v>
                </c:pt>
                <c:pt idx="19">
                  <c:v>7.8346003871975246E-3</c:v>
                </c:pt>
                <c:pt idx="20">
                  <c:v>8.4413209142050125E-3</c:v>
                </c:pt>
                <c:pt idx="21">
                  <c:v>9.06719613255344E-3</c:v>
                </c:pt>
                <c:pt idx="22">
                  <c:v>9.7121856676028306E-3</c:v>
                </c:pt>
                <c:pt idx="23">
                  <c:v>1.0376249144713209E-2</c:v>
                </c:pt>
                <c:pt idx="24">
                  <c:v>1.1059346189244602E-2</c:v>
                </c:pt>
                <c:pt idx="25">
                  <c:v>1.1761436426557035E-2</c:v>
                </c:pt>
                <c:pt idx="26">
                  <c:v>1.2482479482010528E-2</c:v>
                </c:pt>
                <c:pt idx="27">
                  <c:v>1.3222434980965115E-2</c:v>
                </c:pt>
                <c:pt idx="28">
                  <c:v>1.3981262548780815E-2</c:v>
                </c:pt>
                <c:pt idx="29">
                  <c:v>1.4758921810817656E-2</c:v>
                </c:pt>
                <c:pt idx="30">
                  <c:v>1.5555372392435658E-2</c:v>
                </c:pt>
                <c:pt idx="31">
                  <c:v>1.6370573918994852E-2</c:v>
                </c:pt>
                <c:pt idx="32">
                  <c:v>1.7204486015855266E-2</c:v>
                </c:pt>
                <c:pt idx="33">
                  <c:v>1.8057068308376913E-2</c:v>
                </c:pt>
                <c:pt idx="34">
                  <c:v>1.8928280421919831E-2</c:v>
                </c:pt>
                <c:pt idx="35">
                  <c:v>1.9818081981844038E-2</c:v>
                </c:pt>
                <c:pt idx="36">
                  <c:v>2.0726432613509562E-2</c:v>
                </c:pt>
                <c:pt idx="37">
                  <c:v>2.1653291942276425E-2</c:v>
                </c:pt>
                <c:pt idx="38">
                  <c:v>2.2598619593504659E-2</c:v>
                </c:pt>
                <c:pt idx="39">
                  <c:v>2.3562375192554275E-2</c:v>
                </c:pt>
                <c:pt idx="40">
                  <c:v>2.4544518364785314E-2</c:v>
                </c:pt>
                <c:pt idx="41">
                  <c:v>2.55450087355578E-2</c:v>
                </c:pt>
                <c:pt idx="42">
                  <c:v>2.6563805930231742E-2</c:v>
                </c:pt>
                <c:pt idx="43">
                  <c:v>2.760086957416719E-2</c:v>
                </c:pt>
                <c:pt idx="44">
                  <c:v>2.8656159292724147E-2</c:v>
                </c:pt>
                <c:pt idx="45">
                  <c:v>2.9729634711262644E-2</c:v>
                </c:pt>
                <c:pt idx="46">
                  <c:v>3.0821255455142714E-2</c:v>
                </c:pt>
                <c:pt idx="47">
                  <c:v>3.1930981149724376E-2</c:v>
                </c:pt>
                <c:pt idx="48">
                  <c:v>3.3058771420367658E-2</c:v>
                </c:pt>
                <c:pt idx="49">
                  <c:v>3.4204585892432582E-2</c:v>
                </c:pt>
                <c:pt idx="50">
                  <c:v>3.5368384191279176E-2</c:v>
                </c:pt>
                <c:pt idx="51">
                  <c:v>3.6550125942267461E-2</c:v>
                </c:pt>
                <c:pt idx="52">
                  <c:v>3.7749770770757467E-2</c:v>
                </c:pt>
                <c:pt idx="53">
                  <c:v>3.8967278302109221E-2</c:v>
                </c:pt>
                <c:pt idx="54">
                  <c:v>4.0202608161682737E-2</c:v>
                </c:pt>
                <c:pt idx="55">
                  <c:v>4.1455719974838053E-2</c:v>
                </c:pt>
                <c:pt idx="56">
                  <c:v>4.272657336693518E-2</c:v>
                </c:pt>
                <c:pt idx="57">
                  <c:v>4.4015127963334157E-2</c:v>
                </c:pt>
                <c:pt idx="58">
                  <c:v>4.5321343389395016E-2</c:v>
                </c:pt>
                <c:pt idx="59">
                  <c:v>4.664517927047776E-2</c:v>
                </c:pt>
                <c:pt idx="60">
                  <c:v>4.7986595231942424E-2</c:v>
                </c:pt>
                <c:pt idx="61">
                  <c:v>4.9345550899149035E-2</c:v>
                </c:pt>
                <c:pt idx="62">
                  <c:v>5.0722005897457616E-2</c:v>
                </c:pt>
                <c:pt idx="63">
                  <c:v>5.2115919852228181E-2</c:v>
                </c:pt>
                <c:pt idx="64">
                  <c:v>5.3527252388820792E-2</c:v>
                </c:pt>
                <c:pt idx="65">
                  <c:v>5.4955963132595424E-2</c:v>
                </c:pt>
                <c:pt idx="66">
                  <c:v>5.6402011708912146E-2</c:v>
                </c:pt>
                <c:pt idx="67">
                  <c:v>5.7865357743130959E-2</c:v>
                </c:pt>
                <c:pt idx="68">
                  <c:v>5.9345960860611897E-2</c:v>
                </c:pt>
                <c:pt idx="69">
                  <c:v>6.0843780686714984E-2</c:v>
                </c:pt>
                <c:pt idx="70">
                  <c:v>6.2358776846800239E-2</c:v>
                </c:pt>
                <c:pt idx="71">
                  <c:v>6.3890908966227705E-2</c:v>
                </c:pt>
                <c:pt idx="72">
                  <c:v>6.5440136670357363E-2</c:v>
                </c:pt>
                <c:pt idx="73">
                  <c:v>6.7006419584549295E-2</c:v>
                </c:pt>
                <c:pt idx="74">
                  <c:v>6.8589717334163497E-2</c:v>
                </c:pt>
                <c:pt idx="75">
                  <c:v>7.0189989544559989E-2</c:v>
                </c:pt>
                <c:pt idx="76">
                  <c:v>7.180719584109882E-2</c:v>
                </c:pt>
                <c:pt idx="77">
                  <c:v>7.344129584913997E-2</c:v>
                </c:pt>
                <c:pt idx="78">
                  <c:v>7.5092249194043517E-2</c:v>
                </c:pt>
                <c:pt idx="79">
                  <c:v>7.6760015501169468E-2</c:v>
                </c:pt>
                <c:pt idx="80">
                  <c:v>7.844455439587783E-2</c:v>
                </c:pt>
                <c:pt idx="81">
                  <c:v>8.0145825503528653E-2</c:v>
                </c:pt>
                <c:pt idx="82">
                  <c:v>8.1863788449481931E-2</c:v>
                </c:pt>
                <c:pt idx="83">
                  <c:v>8.359840285909774E-2</c:v>
                </c:pt>
                <c:pt idx="84">
                  <c:v>8.5349628357736046E-2</c:v>
                </c:pt>
                <c:pt idx="85">
                  <c:v>8.7117424570756913E-2</c:v>
                </c:pt>
                <c:pt idx="86">
                  <c:v>8.8901751123520362E-2</c:v>
                </c:pt>
                <c:pt idx="87">
                  <c:v>9.07025676413864E-2</c:v>
                </c:pt>
                <c:pt idx="88">
                  <c:v>9.2519833749715077E-2</c:v>
                </c:pt>
                <c:pt idx="89">
                  <c:v>9.4353509073866387E-2</c:v>
                </c:pt>
                <c:pt idx="90">
                  <c:v>9.6203553239200379E-2</c:v>
                </c:pt>
                <c:pt idx="91">
                  <c:v>9.8069925871077088E-2</c:v>
                </c:pt>
                <c:pt idx="92">
                  <c:v>9.9952586594856521E-2</c:v>
                </c:pt>
                <c:pt idx="93">
                  <c:v>0.10185149503589869</c:v>
                </c:pt>
                <c:pt idx="94">
                  <c:v>0.10376661081956363</c:v>
                </c:pt>
                <c:pt idx="95">
                  <c:v>0.1056978935712114</c:v>
                </c:pt>
                <c:pt idx="96">
                  <c:v>0.10764530291620199</c:v>
                </c:pt>
                <c:pt idx="97">
                  <c:v>0.10960879847989541</c:v>
                </c:pt>
                <c:pt idx="98">
                  <c:v>0.11158833988765174</c:v>
                </c:pt>
                <c:pt idx="99">
                  <c:v>0.11358388676483096</c:v>
                </c:pt>
                <c:pt idx="100">
                  <c:v>0.1155953987367931</c:v>
                </c:pt>
                <c:pt idx="101">
                  <c:v>0.11762283542889819</c:v>
                </c:pt>
                <c:pt idx="102">
                  <c:v>0.11966615646650626</c:v>
                </c:pt>
                <c:pt idx="103">
                  <c:v>0.12172532147497733</c:v>
                </c:pt>
                <c:pt idx="104">
                  <c:v>0.12380029007967146</c:v>
                </c:pt>
                <c:pt idx="105">
                  <c:v>0.12589102190594861</c:v>
                </c:pt>
                <c:pt idx="106">
                  <c:v>0.12799747657916885</c:v>
                </c:pt>
                <c:pt idx="107">
                  <c:v>0.13011961372469219</c:v>
                </c:pt>
                <c:pt idx="108">
                  <c:v>0.13225739296787867</c:v>
                </c:pt>
                <c:pt idx="109">
                  <c:v>0.13441077393408829</c:v>
                </c:pt>
                <c:pt idx="110">
                  <c:v>0.13657971624868115</c:v>
                </c:pt>
                <c:pt idx="111">
                  <c:v>0.13876417953701717</c:v>
                </c:pt>
                <c:pt idx="112">
                  <c:v>0.14096412342445638</c:v>
                </c:pt>
                <c:pt idx="113">
                  <c:v>0.14317950753635889</c:v>
                </c:pt>
                <c:pt idx="114">
                  <c:v>0.14541029149808465</c:v>
                </c:pt>
                <c:pt idx="115">
                  <c:v>0.14765643493499375</c:v>
                </c:pt>
                <c:pt idx="116">
                  <c:v>0.14991789747244619</c:v>
                </c:pt>
                <c:pt idx="117">
                  <c:v>0.152194638735802</c:v>
                </c:pt>
                <c:pt idx="118">
                  <c:v>0.15448661835042113</c:v>
                </c:pt>
                <c:pt idx="119">
                  <c:v>0.15679379594166371</c:v>
                </c:pt>
                <c:pt idx="120">
                  <c:v>0.1591161311348897</c:v>
                </c:pt>
                <c:pt idx="121">
                  <c:v>0.16145358355545913</c:v>
                </c:pt>
                <c:pt idx="122">
                  <c:v>0.16380611282873206</c:v>
                </c:pt>
                <c:pt idx="123">
                  <c:v>0.16617367858006851</c:v>
                </c:pt>
                <c:pt idx="124">
                  <c:v>0.1685562404348285</c:v>
                </c:pt>
                <c:pt idx="125">
                  <c:v>0.17095375801837198</c:v>
                </c:pt>
                <c:pt idx="126">
                  <c:v>0.17336619095605915</c:v>
                </c:pt>
                <c:pt idx="127">
                  <c:v>0.17579349887324988</c:v>
                </c:pt>
                <c:pt idx="128">
                  <c:v>0.17823564139530423</c:v>
                </c:pt>
                <c:pt idx="129">
                  <c:v>0.18069257814758224</c:v>
                </c:pt>
                <c:pt idx="130">
                  <c:v>0.18316426875544395</c:v>
                </c:pt>
                <c:pt idx="131">
                  <c:v>0.18565067284424935</c:v>
                </c:pt>
                <c:pt idx="132">
                  <c:v>0.1881517500393585</c:v>
                </c:pt>
                <c:pt idx="133">
                  <c:v>0.19066745996613141</c:v>
                </c:pt>
                <c:pt idx="134">
                  <c:v>0.1931977622499281</c:v>
                </c:pt>
                <c:pt idx="135">
                  <c:v>0.19574261651610858</c:v>
                </c:pt>
                <c:pt idx="136">
                  <c:v>0.19830198239003291</c:v>
                </c:pt>
                <c:pt idx="137">
                  <c:v>0.20087581949706113</c:v>
                </c:pt>
                <c:pt idx="138">
                  <c:v>0.20346408746255323</c:v>
                </c:pt>
                <c:pt idx="139">
                  <c:v>0.20606674591186919</c:v>
                </c:pt>
                <c:pt idx="140">
                  <c:v>0.20868375447036913</c:v>
                </c:pt>
                <c:pt idx="141">
                  <c:v>0.21131507276341299</c:v>
                </c:pt>
                <c:pt idx="142">
                  <c:v>0.21396066041636089</c:v>
                </c:pt>
                <c:pt idx="143">
                  <c:v>0.21662047705457277</c:v>
                </c:pt>
                <c:pt idx="144">
                  <c:v>0.2192944823034087</c:v>
                </c:pt>
                <c:pt idx="145">
                  <c:v>0.22198263578822869</c:v>
                </c:pt>
                <c:pt idx="146">
                  <c:v>0.22468489713439274</c:v>
                </c:pt>
                <c:pt idx="147">
                  <c:v>0.22740122596726092</c:v>
                </c:pt>
                <c:pt idx="148">
                  <c:v>0.23013158191219324</c:v>
                </c:pt>
                <c:pt idx="149">
                  <c:v>0.2328759245945497</c:v>
                </c:pt>
                <c:pt idx="150">
                  <c:v>0.23563421363969039</c:v>
                </c:pt>
                <c:pt idx="151">
                  <c:v>0.23840640867297527</c:v>
                </c:pt>
                <c:pt idx="152">
                  <c:v>0.24119246931976443</c:v>
                </c:pt>
                <c:pt idx="153">
                  <c:v>0.24399235520541782</c:v>
                </c:pt>
                <c:pt idx="154">
                  <c:v>0.24680602595529544</c:v>
                </c:pt>
                <c:pt idx="155">
                  <c:v>0.24963344119475739</c:v>
                </c:pt>
                <c:pt idx="156">
                  <c:v>0.25247456054916373</c:v>
                </c:pt>
                <c:pt idx="157">
                  <c:v>0.25532934364387444</c:v>
                </c:pt>
                <c:pt idx="158">
                  <c:v>0.2581977501042495</c:v>
                </c:pt>
                <c:pt idx="159">
                  <c:v>0.26107973955564895</c:v>
                </c:pt>
                <c:pt idx="160">
                  <c:v>0.26397527162343293</c:v>
                </c:pt>
                <c:pt idx="161">
                  <c:v>0.26688430593296136</c:v>
                </c:pt>
                <c:pt idx="162">
                  <c:v>0.26980680210959423</c:v>
                </c:pt>
                <c:pt idx="163">
                  <c:v>0.27274271977869158</c:v>
                </c:pt>
                <c:pt idx="164">
                  <c:v>0.27569201856561359</c:v>
                </c:pt>
                <c:pt idx="165">
                  <c:v>0.2786546580957201</c:v>
                </c:pt>
                <c:pt idx="166">
                  <c:v>0.28163059799437118</c:v>
                </c:pt>
                <c:pt idx="167">
                  <c:v>0.28461979788692682</c:v>
                </c:pt>
                <c:pt idx="168">
                  <c:v>0.28762221739874722</c:v>
                </c:pt>
                <c:pt idx="169">
                  <c:v>0.2906378161551923</c:v>
                </c:pt>
                <c:pt idx="170">
                  <c:v>0.29366655378162199</c:v>
                </c:pt>
                <c:pt idx="171">
                  <c:v>0.29670838990339637</c:v>
                </c:pt>
                <c:pt idx="172">
                  <c:v>0.29976328414587561</c:v>
                </c:pt>
                <c:pt idx="173">
                  <c:v>0.3028311961344195</c:v>
                </c:pt>
                <c:pt idx="174">
                  <c:v>0.30591208549438825</c:v>
                </c:pt>
                <c:pt idx="175">
                  <c:v>0.30900591185114185</c:v>
                </c:pt>
                <c:pt idx="176">
                  <c:v>0.3121126348300402</c:v>
                </c:pt>
                <c:pt idx="177">
                  <c:v>0.31523221405644347</c:v>
                </c:pt>
                <c:pt idx="178">
                  <c:v>0.31836460915571158</c:v>
                </c:pt>
                <c:pt idx="179">
                  <c:v>0.32150977975320466</c:v>
                </c:pt>
                <c:pt idx="180">
                  <c:v>0.32466768547428265</c:v>
                </c:pt>
                <c:pt idx="181">
                  <c:v>0.32783828594430564</c:v>
                </c:pt>
                <c:pt idx="182">
                  <c:v>0.33102154078863361</c:v>
                </c:pt>
                <c:pt idx="183">
                  <c:v>0.33421740963262658</c:v>
                </c:pt>
                <c:pt idx="184">
                  <c:v>0.33742585210164472</c:v>
                </c:pt>
                <c:pt idx="185">
                  <c:v>0.34064682782104777</c:v>
                </c:pt>
                <c:pt idx="186">
                  <c:v>0.34388029641619594</c:v>
                </c:pt>
                <c:pt idx="187">
                  <c:v>0.34712621751244926</c:v>
                </c:pt>
                <c:pt idx="188">
                  <c:v>0.35038455073516772</c:v>
                </c:pt>
                <c:pt idx="189">
                  <c:v>0.3536552557097114</c:v>
                </c:pt>
                <c:pt idx="190">
                  <c:v>0.35693829206144023</c:v>
                </c:pt>
                <c:pt idx="191">
                  <c:v>0.36023361941571425</c:v>
                </c:pt>
                <c:pt idx="192">
                  <c:v>0.36354119739789359</c:v>
                </c:pt>
                <c:pt idx="193">
                  <c:v>0.36686098563333813</c:v>
                </c:pt>
                <c:pt idx="194">
                  <c:v>0.37019294374740802</c:v>
                </c:pt>
                <c:pt idx="195">
                  <c:v>0.37353703136546318</c:v>
                </c:pt>
                <c:pt idx="196">
                  <c:v>0.3768932081128637</c:v>
                </c:pt>
                <c:pt idx="197">
                  <c:v>0.38026143361496961</c:v>
                </c:pt>
                <c:pt idx="198">
                  <c:v>0.3836416674971409</c:v>
                </c:pt>
                <c:pt idx="199">
                  <c:v>0.38703386938473766</c:v>
                </c:pt>
                <c:pt idx="200">
                  <c:v>0.39043799890311981</c:v>
                </c:pt>
                <c:pt idx="201">
                  <c:v>0.39385401567764744</c:v>
                </c:pt>
                <c:pt idx="202">
                  <c:v>0.39728187933368053</c:v>
                </c:pt>
                <c:pt idx="203">
                  <c:v>0.40072154949657923</c:v>
                </c:pt>
                <c:pt idx="204">
                  <c:v>0.40417298579170347</c:v>
                </c:pt>
                <c:pt idx="205">
                  <c:v>0.40763614784441327</c:v>
                </c:pt>
                <c:pt idx="206">
                  <c:v>0.41111099528006861</c:v>
                </c:pt>
                <c:pt idx="207">
                  <c:v>0.4145974877240296</c:v>
                </c:pt>
                <c:pt idx="208">
                  <c:v>0.41809558480165632</c:v>
                </c:pt>
                <c:pt idx="209">
                  <c:v>0.42160524613830852</c:v>
                </c:pt>
                <c:pt idx="210">
                  <c:v>0.42512643135934663</c:v>
                </c:pt>
                <c:pt idx="211">
                  <c:v>0.42865910009013031</c:v>
                </c:pt>
                <c:pt idx="212">
                  <c:v>0.43220321195601985</c:v>
                </c:pt>
                <c:pt idx="213">
                  <c:v>0.43575872658237508</c:v>
                </c:pt>
                <c:pt idx="214">
                  <c:v>0.43932560359455619</c:v>
                </c:pt>
                <c:pt idx="215">
                  <c:v>0.44290380261792311</c:v>
                </c:pt>
                <c:pt idx="216">
                  <c:v>0.44649328327783588</c:v>
                </c:pt>
                <c:pt idx="217">
                  <c:v>0.45009400519965448</c:v>
                </c:pt>
                <c:pt idx="218">
                  <c:v>0.45370592800873899</c:v>
                </c:pt>
                <c:pt idx="219">
                  <c:v>0.45732901133044945</c:v>
                </c:pt>
                <c:pt idx="220">
                  <c:v>0.46096321479014579</c:v>
                </c:pt>
                <c:pt idx="221">
                  <c:v>0.46460849801318821</c:v>
                </c:pt>
                <c:pt idx="222">
                  <c:v>0.46826482062493668</c:v>
                </c:pt>
                <c:pt idx="223">
                  <c:v>0.47193214225075103</c:v>
                </c:pt>
                <c:pt idx="224">
                  <c:v>0.47561042251599145</c:v>
                </c:pt>
                <c:pt idx="225">
                  <c:v>0.47929962104601798</c:v>
                </c:pt>
                <c:pt idx="226">
                  <c:v>0.48299969746619059</c:v>
                </c:pt>
                <c:pt idx="227">
                  <c:v>0.48671061140186944</c:v>
                </c:pt>
                <c:pt idx="228">
                  <c:v>0.49043232247841428</c:v>
                </c:pt>
                <c:pt idx="229">
                  <c:v>0.49416479032118538</c:v>
                </c:pt>
                <c:pt idx="230">
                  <c:v>0.4979079745555427</c:v>
                </c:pt>
                <c:pt idx="231">
                  <c:v>0.50166183480684623</c:v>
                </c:pt>
                <c:pt idx="232">
                  <c:v>0.50542633070045595</c:v>
                </c:pt>
                <c:pt idx="233">
                  <c:v>0.50920142186173201</c:v>
                </c:pt>
                <c:pt idx="234">
                  <c:v>0.51298706791603443</c:v>
                </c:pt>
                <c:pt idx="235">
                  <c:v>0.51678322848872316</c:v>
                </c:pt>
                <c:pt idx="236">
                  <c:v>0.5205898632051581</c:v>
                </c:pt>
                <c:pt idx="237">
                  <c:v>0.52440693169069952</c:v>
                </c:pt>
                <c:pt idx="238">
                  <c:v>0.52823439357070734</c:v>
                </c:pt>
                <c:pt idx="239">
                  <c:v>0.5320722084705416</c:v>
                </c:pt>
                <c:pt idx="240">
                  <c:v>0.53592033601556233</c:v>
                </c:pt>
                <c:pt idx="241">
                  <c:v>0.53977873583112956</c:v>
                </c:pt>
                <c:pt idx="242">
                  <c:v>0.54364736754260323</c:v>
                </c:pt>
                <c:pt idx="243">
                  <c:v>0.54752619077534348</c:v>
                </c:pt>
                <c:pt idx="244">
                  <c:v>0.55141516515471012</c:v>
                </c:pt>
                <c:pt idx="245">
                  <c:v>0.55531425030606352</c:v>
                </c:pt>
                <c:pt idx="246">
                  <c:v>0.55922340585476349</c:v>
                </c:pt>
                <c:pt idx="247">
                  <c:v>0.56314259142617018</c:v>
                </c:pt>
                <c:pt idx="248">
                  <c:v>0.5670717666456434</c:v>
                </c:pt>
                <c:pt idx="249">
                  <c:v>0.57101089113854331</c:v>
                </c:pt>
                <c:pt idx="250">
                  <c:v>0.57495992453022982</c:v>
                </c:pt>
                <c:pt idx="251">
                  <c:v>0.57891882644606329</c:v>
                </c:pt>
                <c:pt idx="252">
                  <c:v>0.58288755651140334</c:v>
                </c:pt>
                <c:pt idx="253">
                  <c:v>0.58686607435161031</c:v>
                </c:pt>
                <c:pt idx="254">
                  <c:v>0.59085433959204403</c:v>
                </c:pt>
                <c:pt idx="255">
                  <c:v>0.59485231185806464</c:v>
                </c:pt>
                <c:pt idx="256">
                  <c:v>0.59885995077503196</c:v>
                </c:pt>
                <c:pt idx="257">
                  <c:v>0.60287721596830635</c:v>
                </c:pt>
                <c:pt idx="258">
                  <c:v>0.60690406706324751</c:v>
                </c:pt>
                <c:pt idx="259">
                  <c:v>0.6109404636852156</c:v>
                </c:pt>
                <c:pt idx="260">
                  <c:v>0.61498636545957064</c:v>
                </c:pt>
                <c:pt idx="261">
                  <c:v>0.61904173201167279</c:v>
                </c:pt>
                <c:pt idx="262">
                  <c:v>0.62310652296688185</c:v>
                </c:pt>
                <c:pt idx="263">
                  <c:v>0.62718069795055786</c:v>
                </c:pt>
                <c:pt idx="264">
                  <c:v>0.63126421658806109</c:v>
                </c:pt>
                <c:pt idx="265">
                  <c:v>0.63535703850475134</c:v>
                </c:pt>
                <c:pt idx="266">
                  <c:v>0.63945912332598864</c:v>
                </c:pt>
                <c:pt idx="267">
                  <c:v>0.64357043067713349</c:v>
                </c:pt>
                <c:pt idx="268">
                  <c:v>0.6476909201835449</c:v>
                </c:pt>
                <c:pt idx="269">
                  <c:v>0.65182055147058382</c:v>
                </c:pt>
                <c:pt idx="270">
                  <c:v>0.65595928416360982</c:v>
                </c:pt>
                <c:pt idx="271">
                  <c:v>0.66010707788798317</c:v>
                </c:pt>
                <c:pt idx="272">
                  <c:v>0.66426389226906368</c:v>
                </c:pt>
                <c:pt idx="273">
                  <c:v>0.66842968693221161</c:v>
                </c:pt>
                <c:pt idx="274">
                  <c:v>0.67260442150278676</c:v>
                </c:pt>
                <c:pt idx="275">
                  <c:v>0.67678805560614919</c:v>
                </c:pt>
                <c:pt idx="276">
                  <c:v>0.68098054886765891</c:v>
                </c:pt>
                <c:pt idx="277">
                  <c:v>0.6851818609126763</c:v>
                </c:pt>
                <c:pt idx="278">
                  <c:v>0.68939195136656095</c:v>
                </c:pt>
                <c:pt idx="279">
                  <c:v>0.69361077985467301</c:v>
                </c:pt>
                <c:pt idx="280">
                  <c:v>0.69783830600237251</c:v>
                </c:pt>
                <c:pt idx="281">
                  <c:v>0.70207448943501971</c:v>
                </c:pt>
                <c:pt idx="282">
                  <c:v>0.7063192897779742</c:v>
                </c:pt>
                <c:pt idx="283">
                  <c:v>0.71057266665659624</c:v>
                </c:pt>
                <c:pt idx="284">
                  <c:v>0.71483457969624586</c:v>
                </c:pt>
                <c:pt idx="285">
                  <c:v>0.71910498852228333</c:v>
                </c:pt>
                <c:pt idx="286">
                  <c:v>0.72338385276006789</c:v>
                </c:pt>
                <c:pt idx="287">
                  <c:v>0.72767113203496048</c:v>
                </c:pt>
                <c:pt idx="288">
                  <c:v>0.73196678597232057</c:v>
                </c:pt>
                <c:pt idx="289">
                  <c:v>0.73627077419750853</c:v>
                </c:pt>
                <c:pt idx="290">
                  <c:v>0.74058305633588395</c:v>
                </c:pt>
                <c:pt idx="291">
                  <c:v>0.74490359201280743</c:v>
                </c:pt>
                <c:pt idx="292">
                  <c:v>0.74923234085363843</c:v>
                </c:pt>
                <c:pt idx="293">
                  <c:v>0.75356926248373723</c:v>
                </c:pt>
                <c:pt idx="294">
                  <c:v>0.75791431652846386</c:v>
                </c:pt>
                <c:pt idx="295">
                  <c:v>0.76226746261317835</c:v>
                </c:pt>
                <c:pt idx="296">
                  <c:v>0.76662866036324073</c:v>
                </c:pt>
                <c:pt idx="297">
                  <c:v>0.77099786940401105</c:v>
                </c:pt>
                <c:pt idx="298">
                  <c:v>0.775375049360849</c:v>
                </c:pt>
                <c:pt idx="299">
                  <c:v>0.7797601598591154</c:v>
                </c:pt>
                <c:pt idx="300">
                  <c:v>0.78415316052416939</c:v>
                </c:pt>
                <c:pt idx="301">
                  <c:v>0.78855401098137157</c:v>
                </c:pt>
                <c:pt idx="302">
                  <c:v>0.79296267085608152</c:v>
                </c:pt>
                <c:pt idx="303">
                  <c:v>0.79737909977365984</c:v>
                </c:pt>
                <c:pt idx="304">
                  <c:v>0.801803257359466</c:v>
                </c:pt>
                <c:pt idx="305">
                  <c:v>0.80623510323886038</c:v>
                </c:pt>
                <c:pt idx="306">
                  <c:v>0.81067459703720268</c:v>
                </c:pt>
                <c:pt idx="307">
                  <c:v>0.81512169837985327</c:v>
                </c:pt>
                <c:pt idx="308">
                  <c:v>0.81957636689217173</c:v>
                </c:pt>
                <c:pt idx="309">
                  <c:v>0.82403856219951899</c:v>
                </c:pt>
                <c:pt idx="310">
                  <c:v>0.82850824392725386</c:v>
                </c:pt>
                <c:pt idx="311">
                  <c:v>0.83298537170073739</c:v>
                </c:pt>
                <c:pt idx="312">
                  <c:v>0.83746990514532882</c:v>
                </c:pt>
                <c:pt idx="313">
                  <c:v>0.84196180388638897</c:v>
                </c:pt>
                <c:pt idx="314">
                  <c:v>0.84646102754927699</c:v>
                </c:pt>
                <c:pt idx="315">
                  <c:v>0.85096753575935391</c:v>
                </c:pt>
                <c:pt idx="316">
                  <c:v>0.85548128814197844</c:v>
                </c:pt>
                <c:pt idx="317">
                  <c:v>0.86000224432251227</c:v>
                </c:pt>
                <c:pt idx="318">
                  <c:v>0.86453036392631377</c:v>
                </c:pt>
                <c:pt idx="319">
                  <c:v>0.8690656065787441</c:v>
                </c:pt>
                <c:pt idx="320">
                  <c:v>0.87360793190516262</c:v>
                </c:pt>
                <c:pt idx="321">
                  <c:v>0.87815729953092991</c:v>
                </c:pt>
                <c:pt idx="322">
                  <c:v>0.88271366908140558</c:v>
                </c:pt>
                <c:pt idx="323">
                  <c:v>0.8872770001819501</c:v>
                </c:pt>
                <c:pt idx="324">
                  <c:v>0.89184725245792273</c:v>
                </c:pt>
                <c:pt idx="325">
                  <c:v>0.89642438553468418</c:v>
                </c:pt>
                <c:pt idx="326">
                  <c:v>0.90100835903759402</c:v>
                </c:pt>
                <c:pt idx="327">
                  <c:v>0.90559913259201297</c:v>
                </c:pt>
                <c:pt idx="328">
                  <c:v>0.91019666582330028</c:v>
                </c:pt>
                <c:pt idx="329">
                  <c:v>0.91480091835681654</c:v>
                </c:pt>
                <c:pt idx="330">
                  <c:v>0.91941184981792112</c:v>
                </c:pt>
                <c:pt idx="331">
                  <c:v>0.92402941983197484</c:v>
                </c:pt>
                <c:pt idx="332">
                  <c:v>0.92865358802433684</c:v>
                </c:pt>
                <c:pt idx="333">
                  <c:v>0.93328431402036804</c:v>
                </c:pt>
                <c:pt idx="334">
                  <c:v>0.93792155744542782</c:v>
                </c:pt>
                <c:pt idx="335">
                  <c:v>0.94256527792487677</c:v>
                </c:pt>
                <c:pt idx="336">
                  <c:v>0.94721543508407413</c:v>
                </c:pt>
                <c:pt idx="337">
                  <c:v>0.95187198854838106</c:v>
                </c:pt>
                <c:pt idx="338">
                  <c:v>0.95653489794315638</c:v>
                </c:pt>
                <c:pt idx="339">
                  <c:v>0.96120412289376078</c:v>
                </c:pt>
                <c:pt idx="340">
                  <c:v>0.96587962302555397</c:v>
                </c:pt>
                <c:pt idx="341">
                  <c:v>0.97056135796389653</c:v>
                </c:pt>
                <c:pt idx="342">
                  <c:v>0.97524928733414773</c:v>
                </c:pt>
                <c:pt idx="343">
                  <c:v>0.97994337076166849</c:v>
                </c:pt>
                <c:pt idx="344">
                  <c:v>0.98464356787181795</c:v>
                </c:pt>
                <c:pt idx="345">
                  <c:v>0.9893498382899566</c:v>
                </c:pt>
                <c:pt idx="346">
                  <c:v>0.99406214164144413</c:v>
                </c:pt>
                <c:pt idx="347">
                  <c:v>0.99878043755164114</c:v>
                </c:pt>
                <c:pt idx="348">
                  <c:v>1.0035046856459071</c:v>
                </c:pt>
                <c:pt idx="349">
                  <c:v>1.0082348455496026</c:v>
                </c:pt>
                <c:pt idx="350">
                  <c:v>1.012970876888087</c:v>
                </c:pt>
                <c:pt idx="351">
                  <c:v>1.0177127392867209</c:v>
                </c:pt>
                <c:pt idx="352">
                  <c:v>1.0224603923708639</c:v>
                </c:pt>
                <c:pt idx="353">
                  <c:v>1.027213795765876</c:v>
                </c:pt>
                <c:pt idx="354">
                  <c:v>1.0319729090971177</c:v>
                </c:pt>
                <c:pt idx="355">
                  <c:v>1.0367376919899489</c:v>
                </c:pt>
                <c:pt idx="356">
                  <c:v>1.0415081040697292</c:v>
                </c:pt>
                <c:pt idx="357">
                  <c:v>1.046284104961819</c:v>
                </c:pt>
                <c:pt idx="358">
                  <c:v>1.0510656542915782</c:v>
                </c:pt>
                <c:pt idx="359">
                  <c:v>1.0558527116843668</c:v>
                </c:pt>
                <c:pt idx="360">
                  <c:v>1.060645236765545</c:v>
                </c:pt>
                <c:pt idx="361">
                  <c:v>1.0654431891604728</c:v>
                </c:pt>
                <c:pt idx="362">
                  <c:v>1.0702465284945097</c:v>
                </c:pt>
                <c:pt idx="363">
                  <c:v>1.0750552143930165</c:v>
                </c:pt>
                <c:pt idx="364">
                  <c:v>1.0798692064813529</c:v>
                </c:pt>
                <c:pt idx="365">
                  <c:v>1.0846884643848789</c:v>
                </c:pt>
                <c:pt idx="366">
                  <c:v>1.089512947728954</c:v>
                </c:pt>
                <c:pt idx="367">
                  <c:v>1.0943426161389396</c:v>
                </c:pt>
                <c:pt idx="368">
                  <c:v>1.0991774292401943</c:v>
                </c:pt>
                <c:pt idx="369">
                  <c:v>1.1040173466580789</c:v>
                </c:pt>
                <c:pt idx="370">
                  <c:v>1.1088623280179533</c:v>
                </c:pt>
                <c:pt idx="371">
                  <c:v>1.1137123329451775</c:v>
                </c:pt>
                <c:pt idx="372">
                  <c:v>1.118567321065111</c:v>
                </c:pt>
                <c:pt idx="373">
                  <c:v>1.1234272520031148</c:v>
                </c:pt>
                <c:pt idx="374">
                  <c:v>1.1282920853845482</c:v>
                </c:pt>
                <c:pt idx="375">
                  <c:v>1.1331617808347718</c:v>
                </c:pt>
                <c:pt idx="376">
                  <c:v>1.1380362979791445</c:v>
                </c:pt>
                <c:pt idx="377">
                  <c:v>1.1429155964430278</c:v>
                </c:pt>
                <c:pt idx="378">
                  <c:v>1.1477996358517808</c:v>
                </c:pt>
                <c:pt idx="379">
                  <c:v>1.152688375830764</c:v>
                </c:pt>
                <c:pt idx="380">
                  <c:v>1.1575817760053368</c:v>
                </c:pt>
                <c:pt idx="381">
                  <c:v>1.1624797960008599</c:v>
                </c:pt>
                <c:pt idx="382">
                  <c:v>1.1673823954426927</c:v>
                </c:pt>
                <c:pt idx="383">
                  <c:v>1.1722895339561961</c:v>
                </c:pt>
                <c:pt idx="384">
                  <c:v>1.1772011711667292</c:v>
                </c:pt>
                <c:pt idx="385">
                  <c:v>1.1821172666996524</c:v>
                </c:pt>
                <c:pt idx="386">
                  <c:v>1.1870377801803256</c:v>
                </c:pt>
                <c:pt idx="387">
                  <c:v>1.1919626712341096</c:v>
                </c:pt>
                <c:pt idx="388">
                  <c:v>1.1968918994863631</c:v>
                </c:pt>
                <c:pt idx="389">
                  <c:v>1.2018254245624473</c:v>
                </c:pt>
                <c:pt idx="390">
                  <c:v>1.2067632060877214</c:v>
                </c:pt>
                <c:pt idx="391">
                  <c:v>1.211705203687546</c:v>
                </c:pt>
                <c:pt idx="392">
                  <c:v>1.2166513769872802</c:v>
                </c:pt>
                <c:pt idx="393">
                  <c:v>1.2216016856122858</c:v>
                </c:pt>
                <c:pt idx="394">
                  <c:v>1.2265560891879208</c:v>
                </c:pt>
                <c:pt idx="395">
                  <c:v>1.2315145473395468</c:v>
                </c:pt>
                <c:pt idx="396">
                  <c:v>1.2364770196925225</c:v>
                </c:pt>
                <c:pt idx="397">
                  <c:v>1.2414434658722093</c:v>
                </c:pt>
                <c:pt idx="398">
                  <c:v>1.2464138455039659</c:v>
                </c:pt>
                <c:pt idx="399">
                  <c:v>1.2513881182131537</c:v>
                </c:pt>
                <c:pt idx="400">
                  <c:v>1.2563662436251315</c:v>
                </c:pt>
                <c:pt idx="401">
                  <c:v>1.2613481813652601</c:v>
                </c:pt>
                <c:pt idx="402">
                  <c:v>1.2663338910588986</c:v>
                </c:pt>
                <c:pt idx="403">
                  <c:v>1.2713233323314084</c:v>
                </c:pt>
                <c:pt idx="404">
                  <c:v>1.276316464808148</c:v>
                </c:pt>
                <c:pt idx="405">
                  <c:v>1.2813132481144791</c:v>
                </c:pt>
                <c:pt idx="406">
                  <c:v>1.2863136418757606</c:v>
                </c:pt>
                <c:pt idx="407">
                  <c:v>1.2913176057173525</c:v>
                </c:pt>
                <c:pt idx="408">
                  <c:v>1.2963250992646149</c:v>
                </c:pt>
                <c:pt idx="409">
                  <c:v>1.3013360821429085</c:v>
                </c:pt>
                <c:pt idx="410">
                  <c:v>1.3063505139775924</c:v>
                </c:pt>
                <c:pt idx="411">
                  <c:v>1.3113683543940278</c:v>
                </c:pt>
                <c:pt idx="412">
                  <c:v>1.3163895630175733</c:v>
                </c:pt>
                <c:pt idx="413">
                  <c:v>1.3214140994735897</c:v>
                </c:pt>
                <c:pt idx="414">
                  <c:v>1.3264419233874369</c:v>
                </c:pt>
                <c:pt idx="415">
                  <c:v>1.3314729943844754</c:v>
                </c:pt>
                <c:pt idx="416">
                  <c:v>1.3365072720900641</c:v>
                </c:pt>
                <c:pt idx="417">
                  <c:v>1.3415447161295644</c:v>
                </c:pt>
                <c:pt idx="418">
                  <c:v>1.3465852861283352</c:v>
                </c:pt>
                <c:pt idx="419">
                  <c:v>1.3516289417117373</c:v>
                </c:pt>
                <c:pt idx="420">
                  <c:v>1.3566756425051298</c:v>
                </c:pt>
                <c:pt idx="421">
                  <c:v>1.361725348133874</c:v>
                </c:pt>
                <c:pt idx="422">
                  <c:v>1.3667780182233287</c:v>
                </c:pt>
                <c:pt idx="423">
                  <c:v>1.3718336123988548</c:v>
                </c:pt>
                <c:pt idx="424">
                  <c:v>1.3768920902858117</c:v>
                </c:pt>
                <c:pt idx="425">
                  <c:v>1.3819534115095604</c:v>
                </c:pt>
                <c:pt idx="426">
                  <c:v>1.3870175356954593</c:v>
                </c:pt>
                <c:pt idx="427">
                  <c:v>1.3920844224688698</c:v>
                </c:pt>
                <c:pt idx="428">
                  <c:v>1.3971540314551518</c:v>
                </c:pt>
                <c:pt idx="429">
                  <c:v>1.4022263222796645</c:v>
                </c:pt>
                <c:pt idx="430">
                  <c:v>1.4073012545677688</c:v>
                </c:pt>
                <c:pt idx="431">
                  <c:v>1.4123787879448242</c:v>
                </c:pt>
                <c:pt idx="432">
                  <c:v>1.4174588820361906</c:v>
                </c:pt>
                <c:pt idx="433">
                  <c:v>1.4225414964672292</c:v>
                </c:pt>
                <c:pt idx="434">
                  <c:v>1.4276265908632981</c:v>
                </c:pt>
                <c:pt idx="435">
                  <c:v>1.432714124849759</c:v>
                </c:pt>
                <c:pt idx="436">
                  <c:v>1.4378040580519711</c:v>
                </c:pt>
                <c:pt idx="437">
                  <c:v>1.4428963500952947</c:v>
                </c:pt>
                <c:pt idx="438">
                  <c:v>1.4479909606050896</c:v>
                </c:pt>
                <c:pt idx="439">
                  <c:v>1.4530878492067159</c:v>
                </c:pt>
                <c:pt idx="440">
                  <c:v>1.4581869755255339</c:v>
                </c:pt>
                <c:pt idx="441">
                  <c:v>1.4632882991869036</c:v>
                </c:pt>
                <c:pt idx="442">
                  <c:v>1.4683917798161843</c:v>
                </c:pt>
                <c:pt idx="443">
                  <c:v>1.4734973770387374</c:v>
                </c:pt>
                <c:pt idx="444">
                  <c:v>1.4786050504799213</c:v>
                </c:pt>
                <c:pt idx="445">
                  <c:v>1.483714759765097</c:v>
                </c:pt>
                <c:pt idx="446">
                  <c:v>1.4888264645196245</c:v>
                </c:pt>
                <c:pt idx="447">
                  <c:v>1.4939401243688635</c:v>
                </c:pt>
                <c:pt idx="448">
                  <c:v>1.4990556989381743</c:v>
                </c:pt>
                <c:pt idx="449">
                  <c:v>1.504173147852917</c:v>
                </c:pt>
                <c:pt idx="450">
                  <c:v>1.509292430738451</c:v>
                </c:pt>
                <c:pt idx="451">
                  <c:v>1.5144135072201372</c:v>
                </c:pt>
                <c:pt idx="452">
                  <c:v>1.519536336923335</c:v>
                </c:pt>
                <c:pt idx="453">
                  <c:v>1.5246608794734047</c:v>
                </c:pt>
                <c:pt idx="454">
                  <c:v>1.5297870944957062</c:v>
                </c:pt>
                <c:pt idx="455">
                  <c:v>1.5349149416155996</c:v>
                </c:pt>
                <c:pt idx="456">
                  <c:v>1.5400443804584447</c:v>
                </c:pt>
                <c:pt idx="457">
                  <c:v>1.5451753706496021</c:v>
                </c:pt>
                <c:pt idx="458">
                  <c:v>1.550307871814431</c:v>
                </c:pt>
                <c:pt idx="459">
                  <c:v>1.5554418435782924</c:v>
                </c:pt>
                <c:pt idx="460">
                  <c:v>1.5605772455665448</c:v>
                </c:pt>
                <c:pt idx="461">
                  <c:v>1.5657140374045504</c:v>
                </c:pt>
                <c:pt idx="462">
                  <c:v>1.5708521787176675</c:v>
                </c:pt>
                <c:pt idx="463">
                  <c:v>1.5759916291312568</c:v>
                </c:pt>
                <c:pt idx="464">
                  <c:v>1.5811323482706778</c:v>
                </c:pt>
                <c:pt idx="465">
                  <c:v>1.5862742957612916</c:v>
                </c:pt>
                <c:pt idx="466">
                  <c:v>1.5914174312284568</c:v>
                </c:pt>
                <c:pt idx="467">
                  <c:v>1.596561714297535</c:v>
                </c:pt>
                <c:pt idx="468">
                  <c:v>1.6017071045938849</c:v>
                </c:pt>
                <c:pt idx="469">
                  <c:v>1.6068535617428674</c:v>
                </c:pt>
                <c:pt idx="470">
                  <c:v>1.6120010453698415</c:v>
                </c:pt>
                <c:pt idx="471">
                  <c:v>1.6171495151001682</c:v>
                </c:pt>
                <c:pt idx="472">
                  <c:v>1.622298930559207</c:v>
                </c:pt>
                <c:pt idx="473">
                  <c:v>1.6274492513723187</c:v>
                </c:pt>
                <c:pt idx="474">
                  <c:v>1.6326004371648621</c:v>
                </c:pt>
                <c:pt idx="475">
                  <c:v>1.6377524475621985</c:v>
                </c:pt>
                <c:pt idx="476">
                  <c:v>1.6429052421896868</c:v>
                </c:pt>
                <c:pt idx="477">
                  <c:v>1.6480587806726876</c:v>
                </c:pt>
                <c:pt idx="478">
                  <c:v>1.6532130226365609</c:v>
                </c:pt>
                <c:pt idx="479">
                  <c:v>1.658367927706667</c:v>
                </c:pt>
                <c:pt idx="480">
                  <c:v>1.6635234555083649</c:v>
                </c:pt>
                <c:pt idx="481">
                  <c:v>1.6686795656670159</c:v>
                </c:pt>
                <c:pt idx="482">
                  <c:v>1.6738362178079795</c:v>
                </c:pt>
                <c:pt idx="483">
                  <c:v>1.6789933715566154</c:v>
                </c:pt>
                <c:pt idx="484">
                  <c:v>1.6841509865382833</c:v>
                </c:pt>
                <c:pt idx="485">
                  <c:v>1.6893090223783451</c:v>
                </c:pt>
                <c:pt idx="486">
                  <c:v>1.6944674387021588</c:v>
                </c:pt>
                <c:pt idx="487">
                  <c:v>1.6996261951350857</c:v>
                </c:pt>
                <c:pt idx="488">
                  <c:v>1.7047852513024844</c:v>
                </c:pt>
                <c:pt idx="489">
                  <c:v>1.7099445668297166</c:v>
                </c:pt>
                <c:pt idx="490">
                  <c:v>1.7151041013421411</c:v>
                </c:pt>
                <c:pt idx="491">
                  <c:v>1.720263814465119</c:v>
                </c:pt>
                <c:pt idx="492">
                  <c:v>1.7254236658240085</c:v>
                </c:pt>
                <c:pt idx="493">
                  <c:v>1.7305836150441722</c:v>
                </c:pt>
                <c:pt idx="494">
                  <c:v>1.7357436217509681</c:v>
                </c:pt>
                <c:pt idx="495">
                  <c:v>1.7409036455697569</c:v>
                </c:pt>
                <c:pt idx="496">
                  <c:v>1.7460636461258985</c:v>
                </c:pt>
                <c:pt idx="497">
                  <c:v>1.7512235830447533</c:v>
                </c:pt>
                <c:pt idx="498">
                  <c:v>1.7563834159516807</c:v>
                </c:pt>
                <c:pt idx="499">
                  <c:v>1.7615431044720415</c:v>
                </c:pt>
                <c:pt idx="500">
                  <c:v>1.7667026082311947</c:v>
                </c:pt>
                <c:pt idx="501">
                  <c:v>1.7718618868545013</c:v>
                </c:pt>
                <c:pt idx="502">
                  <c:v>1.7770208999673209</c:v>
                </c:pt>
                <c:pt idx="503">
                  <c:v>1.7821796071950138</c:v>
                </c:pt>
                <c:pt idx="504">
                  <c:v>1.7873379681629398</c:v>
                </c:pt>
                <c:pt idx="505">
                  <c:v>1.7924959424964588</c:v>
                </c:pt>
                <c:pt idx="506">
                  <c:v>1.7976534898209307</c:v>
                </c:pt>
                <c:pt idx="507">
                  <c:v>1.8028105697617163</c:v>
                </c:pt>
                <c:pt idx="508">
                  <c:v>1.8079671419441747</c:v>
                </c:pt>
                <c:pt idx="509">
                  <c:v>1.8131231659936664</c:v>
                </c:pt>
                <c:pt idx="510">
                  <c:v>1.8182786015355514</c:v>
                </c:pt>
                <c:pt idx="511">
                  <c:v>1.8234334081951897</c:v>
                </c:pt>
                <c:pt idx="512">
                  <c:v>1.8285875455979417</c:v>
                </c:pt>
                <c:pt idx="513">
                  <c:v>1.8337409733691665</c:v>
                </c:pt>
                <c:pt idx="514">
                  <c:v>1.8388936511342244</c:v>
                </c:pt>
                <c:pt idx="515">
                  <c:v>1.8440455385184762</c:v>
                </c:pt>
                <c:pt idx="516">
                  <c:v>1.8491965951472817</c:v>
                </c:pt>
                <c:pt idx="517">
                  <c:v>1.8543467806460001</c:v>
                </c:pt>
                <c:pt idx="518">
                  <c:v>1.8594960546399917</c:v>
                </c:pt>
                <c:pt idx="519">
                  <c:v>1.8646443767546175</c:v>
                </c:pt>
                <c:pt idx="520">
                  <c:v>1.8697917066152363</c:v>
                </c:pt>
                <c:pt idx="521">
                  <c:v>1.8749380038472088</c:v>
                </c:pt>
                <c:pt idx="522">
                  <c:v>1.880083228075895</c:v>
                </c:pt>
                <c:pt idx="523">
                  <c:v>1.8852273389266543</c:v>
                </c:pt>
                <c:pt idx="524">
                  <c:v>1.8903702960248479</c:v>
                </c:pt>
                <c:pt idx="525">
                  <c:v>1.8955120589958347</c:v>
                </c:pt>
                <c:pt idx="526">
                  <c:v>1.9006525874649753</c:v>
                </c:pt>
                <c:pt idx="527">
                  <c:v>1.9057918410576296</c:v>
                </c:pt>
                <c:pt idx="528">
                  <c:v>1.9109297793991571</c:v>
                </c:pt>
                <c:pt idx="529">
                  <c:v>1.9160663621149192</c:v>
                </c:pt>
                <c:pt idx="530">
                  <c:v>1.9212015488302743</c:v>
                </c:pt>
                <c:pt idx="531">
                  <c:v>1.9263352991705838</c:v>
                </c:pt>
                <c:pt idx="532">
                  <c:v>1.9314675727612065</c:v>
                </c:pt>
                <c:pt idx="533">
                  <c:v>1.9365983292275031</c:v>
                </c:pt>
                <c:pt idx="534">
                  <c:v>1.9417275281948345</c:v>
                </c:pt>
                <c:pt idx="535">
                  <c:v>1.9468551292885588</c:v>
                </c:pt>
                <c:pt idx="536">
                  <c:v>1.9519810921340373</c:v>
                </c:pt>
                <c:pt idx="537">
                  <c:v>1.9571053763566297</c:v>
                </c:pt>
                <c:pt idx="538">
                  <c:v>1.9622279415816961</c:v>
                </c:pt>
                <c:pt idx="539">
                  <c:v>1.9673487474345968</c:v>
                </c:pt>
                <c:pt idx="540">
                  <c:v>1.9724677535406909</c:v>
                </c:pt>
                <c:pt idx="541">
                  <c:v>1.9775849195253397</c:v>
                </c:pt>
                <c:pt idx="542">
                  <c:v>1.9827002050139022</c:v>
                </c:pt>
                <c:pt idx="543">
                  <c:v>1.9878135696317387</c:v>
                </c:pt>
                <c:pt idx="544">
                  <c:v>1.9929249730042093</c:v>
                </c:pt>
                <c:pt idx="545">
                  <c:v>1.9980343747566742</c:v>
                </c:pt>
                <c:pt idx="546">
                  <c:v>2.0031417345144931</c:v>
                </c:pt>
                <c:pt idx="547">
                  <c:v>2.008247011903026</c:v>
                </c:pt>
                <c:pt idx="548">
                  <c:v>2.0133501665476339</c:v>
                </c:pt>
                <c:pt idx="549">
                  <c:v>2.0184511580736757</c:v>
                </c:pt>
                <c:pt idx="550">
                  <c:v>2.0235499461065114</c:v>
                </c:pt>
                <c:pt idx="551">
                  <c:v>2.0286464902715013</c:v>
                </c:pt>
                <c:pt idx="552">
                  <c:v>2.0337407501940059</c:v>
                </c:pt>
                <c:pt idx="553">
                  <c:v>2.038832685499385</c:v>
                </c:pt>
                <c:pt idx="554">
                  <c:v>2.0439222558129977</c:v>
                </c:pt>
                <c:pt idx="555">
                  <c:v>2.0490094207602061</c:v>
                </c:pt>
                <c:pt idx="556">
                  <c:v>2.0540941399663675</c:v>
                </c:pt>
                <c:pt idx="557">
                  <c:v>2.059176373056844</c:v>
                </c:pt>
                <c:pt idx="558">
                  <c:v>2.0642560796569951</c:v>
                </c:pt>
                <c:pt idx="559">
                  <c:v>2.0693332193921807</c:v>
                </c:pt>
                <c:pt idx="560">
                  <c:v>2.0744077518877604</c:v>
                </c:pt>
                <c:pt idx="561">
                  <c:v>2.0794796367690949</c:v>
                </c:pt>
                <c:pt idx="562">
                  <c:v>2.0845488336615441</c:v>
                </c:pt>
                <c:pt idx="563">
                  <c:v>2.0896153021904675</c:v>
                </c:pt>
                <c:pt idx="564">
                  <c:v>2.0946790019812256</c:v>
                </c:pt>
                <c:pt idx="565">
                  <c:v>2.0997398926591786</c:v>
                </c:pt>
                <c:pt idx="566">
                  <c:v>2.1047979338496861</c:v>
                </c:pt>
                <c:pt idx="567">
                  <c:v>2.1098530851781088</c:v>
                </c:pt>
                <c:pt idx="568">
                  <c:v>2.1149053062698053</c:v>
                </c:pt>
                <c:pt idx="569">
                  <c:v>2.119954556750137</c:v>
                </c:pt>
                <c:pt idx="570">
                  <c:v>2.1250007962444637</c:v>
                </c:pt>
                <c:pt idx="571">
                  <c:v>2.1300439843781449</c:v>
                </c:pt>
                <c:pt idx="572">
                  <c:v>2.135084080776541</c:v>
                </c:pt>
                <c:pt idx="573">
                  <c:v>2.1401210450650119</c:v>
                </c:pt>
                <c:pt idx="574">
                  <c:v>2.1451548368689175</c:v>
                </c:pt>
                <c:pt idx="575">
                  <c:v>2.1501854158136182</c:v>
                </c:pt>
                <c:pt idx="576">
                  <c:v>2.155212741524474</c:v>
                </c:pt>
                <c:pt idx="577">
                  <c:v>2.1602367736268446</c:v>
                </c:pt>
                <c:pt idx="578">
                  <c:v>2.1652574717460902</c:v>
                </c:pt>
                <c:pt idx="579">
                  <c:v>2.1702747955075705</c:v>
                </c:pt>
                <c:pt idx="580">
                  <c:v>2.175288704536646</c:v>
                </c:pt>
                <c:pt idx="581">
                  <c:v>2.1802991584586762</c:v>
                </c:pt>
                <c:pt idx="582">
                  <c:v>2.1853061168990222</c:v>
                </c:pt>
                <c:pt idx="583">
                  <c:v>2.1903095394830432</c:v>
                </c:pt>
                <c:pt idx="584">
                  <c:v>2.195309385836099</c:v>
                </c:pt>
                <c:pt idx="585">
                  <c:v>2.2003056155835496</c:v>
                </c:pt>
                <c:pt idx="586">
                  <c:v>2.2052981883507559</c:v>
                </c:pt>
                <c:pt idx="587">
                  <c:v>2.2102870637630772</c:v>
                </c:pt>
                <c:pt idx="588">
                  <c:v>2.2152722014458739</c:v>
                </c:pt>
                <c:pt idx="589">
                  <c:v>2.2202535610245056</c:v>
                </c:pt>
                <c:pt idx="590">
                  <c:v>2.2252311021243329</c:v>
                </c:pt>
                <c:pt idx="591">
                  <c:v>2.2302047843707151</c:v>
                </c:pt>
                <c:pt idx="592">
                  <c:v>2.2351745673890129</c:v>
                </c:pt>
                <c:pt idx="593">
                  <c:v>2.2401404108045857</c:v>
                </c:pt>
                <c:pt idx="594">
                  <c:v>2.2451022742427944</c:v>
                </c:pt>
                <c:pt idx="595">
                  <c:v>2.250060117328998</c:v>
                </c:pt>
                <c:pt idx="596">
                  <c:v>2.2550138996885574</c:v>
                </c:pt>
                <c:pt idx="597">
                  <c:v>2.2599635809468319</c:v>
                </c:pt>
                <c:pt idx="598">
                  <c:v>2.2649091207291825</c:v>
                </c:pt>
                <c:pt idx="599">
                  <c:v>2.2698504786609677</c:v>
                </c:pt>
                <c:pt idx="600">
                  <c:v>2.2747876143675492</c:v>
                </c:pt>
                <c:pt idx="601">
                  <c:v>2.279720487474286</c:v>
                </c:pt>
                <c:pt idx="602">
                  <c:v>2.2846490576065381</c:v>
                </c:pt>
                <c:pt idx="603">
                  <c:v>2.2895732843896663</c:v>
                </c:pt>
                <c:pt idx="604">
                  <c:v>2.2944931274490297</c:v>
                </c:pt>
                <c:pt idx="605">
                  <c:v>2.2994085464099889</c:v>
                </c:pt>
                <c:pt idx="606">
                  <c:v>2.3043195008979036</c:v>
                </c:pt>
                <c:pt idx="607">
                  <c:v>2.3092259505381341</c:v>
                </c:pt>
                <c:pt idx="608">
                  <c:v>2.3141278549560411</c:v>
                </c:pt>
                <c:pt idx="609">
                  <c:v>2.3190251737769825</c:v>
                </c:pt>
                <c:pt idx="610">
                  <c:v>2.3239178666263207</c:v>
                </c:pt>
                <c:pt idx="611">
                  <c:v>2.328805893129414</c:v>
                </c:pt>
                <c:pt idx="612">
                  <c:v>2.3336892129116236</c:v>
                </c:pt>
                <c:pt idx="613">
                  <c:v>2.3385677855983085</c:v>
                </c:pt>
                <c:pt idx="614">
                  <c:v>2.3434415708148304</c:v>
                </c:pt>
                <c:pt idx="615">
                  <c:v>2.3483105281865471</c:v>
                </c:pt>
                <c:pt idx="616">
                  <c:v>2.3531746173388202</c:v>
                </c:pt>
                <c:pt idx="617">
                  <c:v>2.3580337978970092</c:v>
                </c:pt>
                <c:pt idx="618">
                  <c:v>2.362888029486474</c:v>
                </c:pt>
                <c:pt idx="619">
                  <c:v>2.3677372717325746</c:v>
                </c:pt>
                <c:pt idx="620">
                  <c:v>2.3725814842606714</c:v>
                </c:pt>
                <c:pt idx="621">
                  <c:v>2.3774206266961246</c:v>
                </c:pt>
                <c:pt idx="622">
                  <c:v>2.3822546586642934</c:v>
                </c:pt>
                <c:pt idx="623">
                  <c:v>2.387083539790539</c:v>
                </c:pt>
                <c:pt idx="624">
                  <c:v>2.3919072297002204</c:v>
                </c:pt>
                <c:pt idx="625">
                  <c:v>2.3967256880186976</c:v>
                </c:pt>
                <c:pt idx="626">
                  <c:v>2.4015388743713313</c:v>
                </c:pt>
                <c:pt idx="627">
                  <c:v>2.4063467483834815</c:v>
                </c:pt>
                <c:pt idx="628">
                  <c:v>2.4111492696805072</c:v>
                </c:pt>
                <c:pt idx="629">
                  <c:v>2.4159463978877698</c:v>
                </c:pt>
                <c:pt idx="630">
                  <c:v>2.4207380926306286</c:v>
                </c:pt>
                <c:pt idx="631">
                  <c:v>2.4255243135344431</c:v>
                </c:pt>
                <c:pt idx="632">
                  <c:v>2.4303050202245737</c:v>
                </c:pt>
                <c:pt idx="633">
                  <c:v>2.4350801723263817</c:v>
                </c:pt>
                <c:pt idx="634">
                  <c:v>2.4398497294652257</c:v>
                </c:pt>
                <c:pt idx="635">
                  <c:v>2.444613651266466</c:v>
                </c:pt>
                <c:pt idx="636">
                  <c:v>2.449371897355463</c:v>
                </c:pt>
                <c:pt idx="637">
                  <c:v>2.4541244273575762</c:v>
                </c:pt>
                <c:pt idx="638">
                  <c:v>2.4588712008981659</c:v>
                </c:pt>
                <c:pt idx="639">
                  <c:v>2.4636121776025921</c:v>
                </c:pt>
                <c:pt idx="640">
                  <c:v>2.4683473170962147</c:v>
                </c:pt>
                <c:pt idx="641">
                  <c:v>2.4730765790043945</c:v>
                </c:pt>
                <c:pt idx="642">
                  <c:v>2.4777999229524896</c:v>
                </c:pt>
                <c:pt idx="643">
                  <c:v>2.4825173085658623</c:v>
                </c:pt>
                <c:pt idx="644">
                  <c:v>2.4872286954698719</c:v>
                </c:pt>
                <c:pt idx="645">
                  <c:v>2.4919340432898776</c:v>
                </c:pt>
                <c:pt idx="646">
                  <c:v>2.49663331165124</c:v>
                </c:pt>
                <c:pt idx="647">
                  <c:v>2.5013264601793193</c:v>
                </c:pt>
                <c:pt idx="648">
                  <c:v>2.5060134484994752</c:v>
                </c:pt>
                <c:pt idx="649">
                  <c:v>2.5106942362370681</c:v>
                </c:pt>
                <c:pt idx="650">
                  <c:v>2.5153687830174571</c:v>
                </c:pt>
                <c:pt idx="651">
                  <c:v>2.5200370484660035</c:v>
                </c:pt>
                <c:pt idx="652">
                  <c:v>2.5246989922080663</c:v>
                </c:pt>
                <c:pt idx="653">
                  <c:v>2.5293545738690066</c:v>
                </c:pt>
                <c:pt idx="654">
                  <c:v>2.5340037530741837</c:v>
                </c:pt>
                <c:pt idx="655">
                  <c:v>2.5386464894489573</c:v>
                </c:pt>
                <c:pt idx="656">
                  <c:v>2.5432827426186879</c:v>
                </c:pt>
                <c:pt idx="657">
                  <c:v>2.5479124722087354</c:v>
                </c:pt>
                <c:pt idx="658">
                  <c:v>2.5525356378444601</c:v>
                </c:pt>
                <c:pt idx="659">
                  <c:v>2.557152199151222</c:v>
                </c:pt>
                <c:pt idx="660">
                  <c:v>2.5617621157543802</c:v>
                </c:pt>
                <c:pt idx="661">
                  <c:v>2.5663653472792962</c:v>
                </c:pt>
                <c:pt idx="662">
                  <c:v>2.5709618533513288</c:v>
                </c:pt>
                <c:pt idx="663">
                  <c:v>2.5755515935958391</c:v>
                </c:pt>
                <c:pt idx="664">
                  <c:v>2.5801345276381857</c:v>
                </c:pt>
                <c:pt idx="665">
                  <c:v>2.58471061510373</c:v>
                </c:pt>
                <c:pt idx="666">
                  <c:v>2.5892798156178314</c:v>
                </c:pt>
                <c:pt idx="667">
                  <c:v>2.5938420888058498</c:v>
                </c:pt>
                <c:pt idx="668">
                  <c:v>2.5983973942931455</c:v>
                </c:pt>
                <c:pt idx="669">
                  <c:v>2.6029456917050791</c:v>
                </c:pt>
                <c:pt idx="670">
                  <c:v>2.6074869406670089</c:v>
                </c:pt>
                <c:pt idx="671">
                  <c:v>2.6120211008042973</c:v>
                </c:pt>
                <c:pt idx="672">
                  <c:v>2.6165481317423018</c:v>
                </c:pt>
                <c:pt idx="673">
                  <c:v>2.6210679931063847</c:v>
                </c:pt>
                <c:pt idx="674">
                  <c:v>2.6255806445219041</c:v>
                </c:pt>
                <c:pt idx="675">
                  <c:v>2.6300860456142212</c:v>
                </c:pt>
                <c:pt idx="676">
                  <c:v>2.634584156008696</c:v>
                </c:pt>
                <c:pt idx="677">
                  <c:v>2.6390749353306884</c:v>
                </c:pt>
                <c:pt idx="678">
                  <c:v>2.6435583432055578</c:v>
                </c:pt>
                <c:pt idx="679">
                  <c:v>2.6480343392586647</c:v>
                </c:pt>
                <c:pt idx="680">
                  <c:v>2.6525028831153694</c:v>
                </c:pt>
                <c:pt idx="681">
                  <c:v>2.6569639344010314</c:v>
                </c:pt>
                <c:pt idx="682">
                  <c:v>2.661417452741011</c:v>
                </c:pt>
                <c:pt idx="683">
                  <c:v>2.6658633977606687</c:v>
                </c:pt>
                <c:pt idx="684">
                  <c:v>2.6703017290853639</c:v>
                </c:pt>
                <c:pt idx="685">
                  <c:v>2.6747324063404565</c:v>
                </c:pt>
                <c:pt idx="686">
                  <c:v>2.6791553891513074</c:v>
                </c:pt>
                <c:pt idx="687">
                  <c:v>2.6835706371432755</c:v>
                </c:pt>
                <c:pt idx="688">
                  <c:v>2.6879781099417208</c:v>
                </c:pt>
                <c:pt idx="689">
                  <c:v>2.6923777671720046</c:v>
                </c:pt>
                <c:pt idx="690">
                  <c:v>2.6967695684594863</c:v>
                </c:pt>
                <c:pt idx="691">
                  <c:v>2.7011534734295255</c:v>
                </c:pt>
                <c:pt idx="692">
                  <c:v>2.7055294417074824</c:v>
                </c:pt>
                <c:pt idx="693">
                  <c:v>2.7098974329187175</c:v>
                </c:pt>
                <c:pt idx="694">
                  <c:v>2.7142574066885894</c:v>
                </c:pt>
                <c:pt idx="695">
                  <c:v>2.718609322642461</c:v>
                </c:pt>
                <c:pt idx="696">
                  <c:v>2.7229531404056893</c:v>
                </c:pt>
                <c:pt idx="697">
                  <c:v>2.7272888196036362</c:v>
                </c:pt>
                <c:pt idx="698">
                  <c:v>2.7316163198616605</c:v>
                </c:pt>
                <c:pt idx="699">
                  <c:v>2.7359356008051234</c:v>
                </c:pt>
                <c:pt idx="700">
                  <c:v>2.740246622059384</c:v>
                </c:pt>
                <c:pt idx="701">
                  <c:v>2.7445493432498029</c:v>
                </c:pt>
                <c:pt idx="702">
                  <c:v>2.7488437240017394</c:v>
                </c:pt>
                <c:pt idx="703">
                  <c:v>2.7531297239405541</c:v>
                </c:pt>
                <c:pt idx="704">
                  <c:v>2.7574073026916075</c:v>
                </c:pt>
                <c:pt idx="705">
                  <c:v>2.761676419880259</c:v>
                </c:pt>
                <c:pt idx="706">
                  <c:v>2.7659370351318682</c:v>
                </c:pt>
                <c:pt idx="707">
                  <c:v>2.7701891080717962</c:v>
                </c:pt>
                <c:pt idx="708">
                  <c:v>2.7744325983254017</c:v>
                </c:pt>
                <c:pt idx="709">
                  <c:v>2.7786674655180459</c:v>
                </c:pt>
                <c:pt idx="710">
                  <c:v>2.7828936692750883</c:v>
                </c:pt>
                <c:pt idx="711">
                  <c:v>2.7871111692218897</c:v>
                </c:pt>
                <c:pt idx="712">
                  <c:v>2.7913199249838088</c:v>
                </c:pt>
                <c:pt idx="713">
                  <c:v>2.7955198961862058</c:v>
                </c:pt>
                <c:pt idx="714">
                  <c:v>2.7997110424544416</c:v>
                </c:pt>
                <c:pt idx="715">
                  <c:v>2.8038933234138765</c:v>
                </c:pt>
                <c:pt idx="716">
                  <c:v>2.8080666986898697</c:v>
                </c:pt>
                <c:pt idx="717">
                  <c:v>2.812231127907781</c:v>
                </c:pt>
                <c:pt idx="718">
                  <c:v>2.8163865706929698</c:v>
                </c:pt>
                <c:pt idx="719">
                  <c:v>2.8205329866707984</c:v>
                </c:pt>
                <c:pt idx="720">
                  <c:v>2.8246703354666249</c:v>
                </c:pt>
                <c:pt idx="721">
                  <c:v>2.8287985767058106</c:v>
                </c:pt>
                <c:pt idx="722">
                  <c:v>2.8329176700137149</c:v>
                </c:pt>
                <c:pt idx="723">
                  <c:v>2.8370275750156972</c:v>
                </c:pt>
                <c:pt idx="724">
                  <c:v>2.8411282513371181</c:v>
                </c:pt>
                <c:pt idx="725">
                  <c:v>2.8452196586033383</c:v>
                </c:pt>
                <c:pt idx="726">
                  <c:v>2.8493017564397167</c:v>
                </c:pt>
                <c:pt idx="727">
                  <c:v>2.8533745044716143</c:v>
                </c:pt>
                <c:pt idx="728">
                  <c:v>2.8574378623243906</c:v>
                </c:pt>
                <c:pt idx="729">
                  <c:v>2.8614917896234058</c:v>
                </c:pt>
                <c:pt idx="730">
                  <c:v>2.8655362459940186</c:v>
                </c:pt>
                <c:pt idx="731">
                  <c:v>2.8695711910615911</c:v>
                </c:pt>
                <c:pt idx="732">
                  <c:v>2.8735965844514824</c:v>
                </c:pt>
                <c:pt idx="733">
                  <c:v>2.8776123857890532</c:v>
                </c:pt>
                <c:pt idx="734">
                  <c:v>2.8816185546996618</c:v>
                </c:pt>
                <c:pt idx="735">
                  <c:v>2.8856150508086698</c:v>
                </c:pt>
                <c:pt idx="736">
                  <c:v>2.8896018337414375</c:v>
                </c:pt>
                <c:pt idx="737">
                  <c:v>2.8935788631233228</c:v>
                </c:pt>
                <c:pt idx="738">
                  <c:v>2.8975460985796877</c:v>
                </c:pt>
                <c:pt idx="739">
                  <c:v>2.9015034997358917</c:v>
                </c:pt>
                <c:pt idx="740">
                  <c:v>2.9054510262172952</c:v>
                </c:pt>
                <c:pt idx="741">
                  <c:v>2.9093886376492568</c:v>
                </c:pt>
                <c:pt idx="742">
                  <c:v>2.9133162936571382</c:v>
                </c:pt>
                <c:pt idx="743">
                  <c:v>2.9172339538662984</c:v>
                </c:pt>
                <c:pt idx="744">
                  <c:v>2.9211415779020973</c:v>
                </c:pt>
                <c:pt idx="745">
                  <c:v>2.9250391253898962</c:v>
                </c:pt>
                <c:pt idx="746">
                  <c:v>2.9289265559550541</c:v>
                </c:pt>
                <c:pt idx="747">
                  <c:v>2.9328038292229315</c:v>
                </c:pt>
                <c:pt idx="748">
                  <c:v>2.9366709048188877</c:v>
                </c:pt>
                <c:pt idx="749">
                  <c:v>2.9405277423682832</c:v>
                </c:pt>
                <c:pt idx="750">
                  <c:v>2.9443743014964783</c:v>
                </c:pt>
                <c:pt idx="751">
                  <c:v>2.9482105418288325</c:v>
                </c:pt>
                <c:pt idx="752">
                  <c:v>2.9520364229907052</c:v>
                </c:pt>
                <c:pt idx="753">
                  <c:v>2.9558519046074592</c:v>
                </c:pt>
                <c:pt idx="754">
                  <c:v>2.9596569463044511</c:v>
                </c:pt>
                <c:pt idx="755">
                  <c:v>2.9634515077070431</c:v>
                </c:pt>
                <c:pt idx="756">
                  <c:v>2.9672355484405939</c:v>
                </c:pt>
                <c:pt idx="757">
                  <c:v>2.9710090281304646</c:v>
                </c:pt>
                <c:pt idx="758">
                  <c:v>2.9747719064020153</c:v>
                </c:pt>
                <c:pt idx="759">
                  <c:v>2.9785241428806044</c:v>
                </c:pt>
                <c:pt idx="760">
                  <c:v>2.9822656971915942</c:v>
                </c:pt>
                <c:pt idx="761">
                  <c:v>2.9859965289603432</c:v>
                </c:pt>
                <c:pt idx="762">
                  <c:v>2.9897165978122109</c:v>
                </c:pt>
                <c:pt idx="763">
                  <c:v>2.9934258633725594</c:v>
                </c:pt>
                <c:pt idx="764">
                  <c:v>2.9971242852667475</c:v>
                </c:pt>
                <c:pt idx="765">
                  <c:v>3.0008118231201348</c:v>
                </c:pt>
                <c:pt idx="766">
                  <c:v>3.004488436558082</c:v>
                </c:pt>
                <c:pt idx="767">
                  <c:v>3.0081540852059483</c:v>
                </c:pt>
                <c:pt idx="768">
                  <c:v>3.0118087286890951</c:v>
                </c:pt>
                <c:pt idx="769">
                  <c:v>3.0154523266328819</c:v>
                </c:pt>
                <c:pt idx="770">
                  <c:v>3.0190848386626676</c:v>
                </c:pt>
                <c:pt idx="771">
                  <c:v>3.0227062244038141</c:v>
                </c:pt>
                <c:pt idx="772">
                  <c:v>3.0263164434816794</c:v>
                </c:pt>
                <c:pt idx="773">
                  <c:v>3.0299154555216257</c:v>
                </c:pt>
                <c:pt idx="774">
                  <c:v>3.0335032201490115</c:v>
                </c:pt>
                <c:pt idx="775">
                  <c:v>3.0370796969891964</c:v>
                </c:pt>
                <c:pt idx="776">
                  <c:v>3.0406448456675426</c:v>
                </c:pt>
                <c:pt idx="777">
                  <c:v>3.0441986258094076</c:v>
                </c:pt>
                <c:pt idx="778">
                  <c:v>3.0477409970401537</c:v>
                </c:pt>
                <c:pt idx="779">
                  <c:v>3.0512719189851394</c:v>
                </c:pt>
                <c:pt idx="780">
                  <c:v>3.0547913512697251</c:v>
                </c:pt>
                <c:pt idx="781">
                  <c:v>3.0582992535192703</c:v>
                </c:pt>
                <c:pt idx="782">
                  <c:v>3.0617955853591363</c:v>
                </c:pt>
                <c:pt idx="783">
                  <c:v>3.0652803064146816</c:v>
                </c:pt>
                <c:pt idx="784">
                  <c:v>3.068753376311268</c:v>
                </c:pt>
                <c:pt idx="785">
                  <c:v>3.0722147546742544</c:v>
                </c:pt>
                <c:pt idx="786">
                  <c:v>3.0756644011290013</c:v>
                </c:pt>
                <c:pt idx="787">
                  <c:v>3.0791022753008681</c:v>
                </c:pt>
                <c:pt idx="788">
                  <c:v>3.0825283368152148</c:v>
                </c:pt>
                <c:pt idx="789">
                  <c:v>3.0859425452974021</c:v>
                </c:pt>
                <c:pt idx="790">
                  <c:v>3.08934486037279</c:v>
                </c:pt>
                <c:pt idx="791">
                  <c:v>3.0927352416667375</c:v>
                </c:pt>
                <c:pt idx="792">
                  <c:v>3.0961136488046064</c:v>
                </c:pt>
                <c:pt idx="793">
                  <c:v>3.0994800414117547</c:v>
                </c:pt>
                <c:pt idx="794">
                  <c:v>3.1028343791135442</c:v>
                </c:pt>
                <c:pt idx="795">
                  <c:v>3.106176621535333</c:v>
                </c:pt>
                <c:pt idx="796">
                  <c:v>3.1095067283024829</c:v>
                </c:pt>
                <c:pt idx="797">
                  <c:v>3.1128246590403537</c:v>
                </c:pt>
                <c:pt idx="798">
                  <c:v>3.1161303733743044</c:v>
                </c:pt>
                <c:pt idx="799">
                  <c:v>3.1194238309296964</c:v>
                </c:pt>
                <c:pt idx="800">
                  <c:v>3.1227049913318883</c:v>
                </c:pt>
                <c:pt idx="801">
                  <c:v>3.1259738142062412</c:v>
                </c:pt>
                <c:pt idx="802">
                  <c:v>3.1292302591781143</c:v>
                </c:pt>
                <c:pt idx="803">
                  <c:v>3.1324742858728678</c:v>
                </c:pt>
                <c:pt idx="804">
                  <c:v>3.1357058539158627</c:v>
                </c:pt>
                <c:pt idx="805">
                  <c:v>3.1389249229324578</c:v>
                </c:pt>
                <c:pt idx="806">
                  <c:v>3.1421314525480142</c:v>
                </c:pt>
                <c:pt idx="807">
                  <c:v>3.1453254023878898</c:v>
                </c:pt>
                <c:pt idx="808">
                  <c:v>3.1485067320774478</c:v>
                </c:pt>
                <c:pt idx="809">
                  <c:v>3.1516754012420458</c:v>
                </c:pt>
                <c:pt idx="810">
                  <c:v>3.1548313695070456</c:v>
                </c:pt>
                <c:pt idx="811">
                  <c:v>3.1579745964978052</c:v>
                </c:pt>
                <c:pt idx="812">
                  <c:v>3.161105041839686</c:v>
                </c:pt>
                <c:pt idx="813">
                  <c:v>3.1642226651580478</c:v>
                </c:pt>
                <c:pt idx="814">
                  <c:v>3.1673274260782502</c:v>
                </c:pt>
                <c:pt idx="815">
                  <c:v>3.1704192842256536</c:v>
                </c:pt>
                <c:pt idx="816">
                  <c:v>3.1734981992256186</c:v>
                </c:pt>
                <c:pt idx="817">
                  <c:v>3.176564130703504</c:v>
                </c:pt>
                <c:pt idx="818">
                  <c:v>3.17961703828467</c:v>
                </c:pt>
                <c:pt idx="819">
                  <c:v>3.182656881594478</c:v>
                </c:pt>
                <c:pt idx="820">
                  <c:v>3.1856836202582857</c:v>
                </c:pt>
                <c:pt idx="821">
                  <c:v>3.188697213901456</c:v>
                </c:pt>
                <c:pt idx="822">
                  <c:v>3.1916976221493467</c:v>
                </c:pt>
                <c:pt idx="823">
                  <c:v>3.1946848046273191</c:v>
                </c:pt>
                <c:pt idx="824">
                  <c:v>3.1976587209607317</c:v>
                </c:pt>
                <c:pt idx="825">
                  <c:v>3.2006193307749458</c:v>
                </c:pt>
                <c:pt idx="826">
                  <c:v>3.2035665936953213</c:v>
                </c:pt>
                <c:pt idx="827">
                  <c:v>3.2065004693472181</c:v>
                </c:pt>
                <c:pt idx="828">
                  <c:v>3.2094209173559962</c:v>
                </c:pt>
                <c:pt idx="829">
                  <c:v>3.2123278973470155</c:v>
                </c:pt>
                <c:pt idx="830">
                  <c:v>3.2152213689456359</c:v>
                </c:pt>
                <c:pt idx="831">
                  <c:v>3.2181012917772178</c:v>
                </c:pt>
                <c:pt idx="832">
                  <c:v>3.2209676254671211</c:v>
                </c:pt>
                <c:pt idx="833">
                  <c:v>3.2238203296407062</c:v>
                </c:pt>
                <c:pt idx="834">
                  <c:v>3.2266593639233321</c:v>
                </c:pt>
                <c:pt idx="835">
                  <c:v>3.2294846879403591</c:v>
                </c:pt>
                <c:pt idx="836">
                  <c:v>3.2322962613171491</c:v>
                </c:pt>
                <c:pt idx="837">
                  <c:v>3.2350940436790596</c:v>
                </c:pt>
                <c:pt idx="838">
                  <c:v>3.2378779946514511</c:v>
                </c:pt>
                <c:pt idx="839">
                  <c:v>3.2406480738596848</c:v>
                </c:pt>
                <c:pt idx="840">
                  <c:v>3.2434042409291202</c:v>
                </c:pt>
                <c:pt idx="841">
                  <c:v>3.2461464554851167</c:v>
                </c:pt>
                <c:pt idx="842">
                  <c:v>3.2488746771530348</c:v>
                </c:pt>
                <c:pt idx="843">
                  <c:v>3.2515888655582348</c:v>
                </c:pt>
                <c:pt idx="844">
                  <c:v>3.2542889803260771</c:v>
                </c:pt>
                <c:pt idx="845">
                  <c:v>3.2569749810819202</c:v>
                </c:pt>
                <c:pt idx="846">
                  <c:v>3.2596468274511254</c:v>
                </c:pt>
                <c:pt idx="847">
                  <c:v>3.2623044790590519</c:v>
                </c:pt>
                <c:pt idx="848">
                  <c:v>3.2649478955310602</c:v>
                </c:pt>
                <c:pt idx="849">
                  <c:v>3.2675770364925114</c:v>
                </c:pt>
                <c:pt idx="850">
                  <c:v>3.2701918615687635</c:v>
                </c:pt>
                <c:pt idx="851">
                  <c:v>3.2727923303851769</c:v>
                </c:pt>
                <c:pt idx="852">
                  <c:v>3.2753784025671129</c:v>
                </c:pt>
                <c:pt idx="853">
                  <c:v>3.2779500377399309</c:v>
                </c:pt>
                <c:pt idx="854">
                  <c:v>3.2805071955289904</c:v>
                </c:pt>
                <c:pt idx="855">
                  <c:v>3.2830498355596527</c:v>
                </c:pt>
                <c:pt idx="856">
                  <c:v>3.2855779174572763</c:v>
                </c:pt>
                <c:pt idx="857">
                  <c:v>3.2880914008472217</c:v>
                </c:pt>
                <c:pt idx="858">
                  <c:v>3.2905902453548492</c:v>
                </c:pt>
                <c:pt idx="859">
                  <c:v>3.2930744106055192</c:v>
                </c:pt>
                <c:pt idx="860">
                  <c:v>3.2955438562245911</c:v>
                </c:pt>
                <c:pt idx="861">
                  <c:v>3.2979985418374245</c:v>
                </c:pt>
                <c:pt idx="862">
                  <c:v>3.3004384270693814</c:v>
                </c:pt>
                <c:pt idx="863">
                  <c:v>3.3028634715458187</c:v>
                </c:pt>
                <c:pt idx="864">
                  <c:v>3.3052736348920995</c:v>
                </c:pt>
                <c:pt idx="865">
                  <c:v>3.3076688767335813</c:v>
                </c:pt>
                <c:pt idx="866">
                  <c:v>3.3100491566956265</c:v>
                </c:pt>
                <c:pt idx="867">
                  <c:v>3.312414434403594</c:v>
                </c:pt>
                <c:pt idx="868">
                  <c:v>3.3147646694828428</c:v>
                </c:pt>
                <c:pt idx="869">
                  <c:v>3.3170998215587351</c:v>
                </c:pt>
                <c:pt idx="870">
                  <c:v>3.3194198502566286</c:v>
                </c:pt>
                <c:pt idx="871">
                  <c:v>3.3217247152018845</c:v>
                </c:pt>
                <c:pt idx="872">
                  <c:v>3.3240143760198633</c:v>
                </c:pt>
                <c:pt idx="873">
                  <c:v>3.3262887923359243</c:v>
                </c:pt>
                <c:pt idx="874">
                  <c:v>3.3285479237754276</c:v>
                </c:pt>
                <c:pt idx="875">
                  <c:v>3.3307917299637335</c:v>
                </c:pt>
                <c:pt idx="876">
                  <c:v>3.3330201705262024</c:v>
                </c:pt>
                <c:pt idx="877">
                  <c:v>3.3352332050881928</c:v>
                </c:pt>
                <c:pt idx="878">
                  <c:v>3.337430793275066</c:v>
                </c:pt>
                <c:pt idx="879">
                  <c:v>3.3396128947121824</c:v>
                </c:pt>
                <c:pt idx="880">
                  <c:v>3.3417794690249005</c:v>
                </c:pt>
                <c:pt idx="881">
                  <c:v>3.3439304758385822</c:v>
                </c:pt>
                <c:pt idx="882">
                  <c:v>3.3460658747785859</c:v>
                </c:pt>
                <c:pt idx="883">
                  <c:v>3.3481856254702724</c:v>
                </c:pt>
                <c:pt idx="884">
                  <c:v>3.3502896875390009</c:v>
                </c:pt>
                <c:pt idx="885">
                  <c:v>3.352378020610133</c:v>
                </c:pt>
                <c:pt idx="886">
                  <c:v>3.3544505843090278</c:v>
                </c:pt>
                <c:pt idx="887">
                  <c:v>3.3565073382610446</c:v>
                </c:pt>
                <c:pt idx="888">
                  <c:v>3.3585482420915453</c:v>
                </c:pt>
                <c:pt idx="889">
                  <c:v>3.3605732554258876</c:v>
                </c:pt>
                <c:pt idx="890">
                  <c:v>3.3625823378894335</c:v>
                </c:pt>
                <c:pt idx="891">
                  <c:v>3.3645754491075417</c:v>
                </c:pt>
                <c:pt idx="892">
                  <c:v>3.3665525487055739</c:v>
                </c:pt>
                <c:pt idx="893">
                  <c:v>3.3685135963088877</c:v>
                </c:pt>
                <c:pt idx="894">
                  <c:v>3.3704585515428445</c:v>
                </c:pt>
                <c:pt idx="895">
                  <c:v>3.372387374032805</c:v>
                </c:pt>
                <c:pt idx="896">
                  <c:v>3.3743000234041283</c:v>
                </c:pt>
                <c:pt idx="897">
                  <c:v>3.3761964592821747</c:v>
                </c:pt>
                <c:pt idx="898">
                  <c:v>3.3780766412923038</c:v>
                </c:pt>
                <c:pt idx="899">
                  <c:v>3.3799405290598763</c:v>
                </c:pt>
                <c:pt idx="900">
                  <c:v>3.3817880822102517</c:v>
                </c:pt>
                <c:pt idx="901">
                  <c:v>3.3836192603687896</c:v>
                </c:pt>
                <c:pt idx="902">
                  <c:v>3.3854340231608515</c:v>
                </c:pt>
                <c:pt idx="903">
                  <c:v>3.3872323302117966</c:v>
                </c:pt>
                <c:pt idx="904">
                  <c:v>3.3890141411469843</c:v>
                </c:pt>
                <c:pt idx="905">
                  <c:v>3.390779415591775</c:v>
                </c:pt>
                <c:pt idx="906">
                  <c:v>3.3925281131715295</c:v>
                </c:pt>
                <c:pt idx="907">
                  <c:v>3.3942601935116072</c:v>
                </c:pt>
                <c:pt idx="908">
                  <c:v>3.3959756162373682</c:v>
                </c:pt>
                <c:pt idx="909">
                  <c:v>3.3976743409741728</c:v>
                </c:pt>
                <c:pt idx="910">
                  <c:v>3.3993563273473799</c:v>
                </c:pt>
                <c:pt idx="911">
                  <c:v>3.4010215349823505</c:v>
                </c:pt>
                <c:pt idx="912">
                  <c:v>3.4026699235044449</c:v>
                </c:pt>
                <c:pt idx="913">
                  <c:v>3.4043014525390221</c:v>
                </c:pt>
                <c:pt idx="914">
                  <c:v>3.4059160817114433</c:v>
                </c:pt>
                <c:pt idx="915">
                  <c:v>3.4075137706470682</c:v>
                </c:pt>
                <c:pt idx="916">
                  <c:v>3.4090944789712561</c:v>
                </c:pt>
                <c:pt idx="917">
                  <c:v>3.4106581663093682</c:v>
                </c:pt>
                <c:pt idx="918">
                  <c:v>3.4122047922867629</c:v>
                </c:pt>
                <c:pt idx="919">
                  <c:v>3.4137343165288017</c:v>
                </c:pt>
                <c:pt idx="920">
                  <c:v>3.4152466986608432</c:v>
                </c:pt>
                <c:pt idx="921">
                  <c:v>3.4167418983082496</c:v>
                </c:pt>
                <c:pt idx="922">
                  <c:v>3.418219875096379</c:v>
                </c:pt>
                <c:pt idx="923">
                  <c:v>3.4196805886505919</c:v>
                </c:pt>
                <c:pt idx="924">
                  <c:v>3.4211239985962489</c:v>
                </c:pt>
                <c:pt idx="925">
                  <c:v>3.4225500645587097</c:v>
                </c:pt>
                <c:pt idx="926">
                  <c:v>3.4239587461633336</c:v>
                </c:pt>
                <c:pt idx="927">
                  <c:v>3.4253500030354815</c:v>
                </c:pt>
                <c:pt idx="928">
                  <c:v>3.4267237948005134</c:v>
                </c:pt>
                <c:pt idx="929">
                  <c:v>3.428080081083789</c:v>
                </c:pt>
                <c:pt idx="930">
                  <c:v>3.4294188215106689</c:v>
                </c:pt>
                <c:pt idx="931">
                  <c:v>3.430739975706512</c:v>
                </c:pt>
                <c:pt idx="932">
                  <c:v>3.4320435032966787</c:v>
                </c:pt>
                <c:pt idx="933">
                  <c:v>3.4333293639065303</c:v>
                </c:pt>
                <c:pt idx="934">
                  <c:v>3.4345975171614254</c:v>
                </c:pt>
                <c:pt idx="935">
                  <c:v>3.4358479226867247</c:v>
                </c:pt>
                <c:pt idx="936">
                  <c:v>3.4370805401077869</c:v>
                </c:pt>
                <c:pt idx="937">
                  <c:v>3.438295329049974</c:v>
                </c:pt>
                <c:pt idx="938">
                  <c:v>3.4394922491386453</c:v>
                </c:pt>
                <c:pt idx="939">
                  <c:v>3.44067125999916</c:v>
                </c:pt>
                <c:pt idx="940">
                  <c:v>3.4418323212568795</c:v>
                </c:pt>
                <c:pt idx="941">
                  <c:v>3.4429753925371633</c:v>
                </c:pt>
                <c:pt idx="942">
                  <c:v>3.44410043346537</c:v>
                </c:pt>
                <c:pt idx="943">
                  <c:v>3.4452074036668616</c:v>
                </c:pt>
                <c:pt idx="944">
                  <c:v>3.4462962627669977</c:v>
                </c:pt>
                <c:pt idx="945">
                  <c:v>3.4473669703911374</c:v>
                </c:pt>
                <c:pt idx="946">
                  <c:v>3.4484194861646418</c:v>
                </c:pt>
                <c:pt idx="947">
                  <c:v>3.4494537697128704</c:v>
                </c:pt>
                <c:pt idx="948">
                  <c:v>3.4504697806611833</c:v>
                </c:pt>
                <c:pt idx="949">
                  <c:v>3.4514674786349406</c:v>
                </c:pt>
                <c:pt idx="950">
                  <c:v>3.4524468232595016</c:v>
                </c:pt>
                <c:pt idx="951">
                  <c:v>3.4534077741602269</c:v>
                </c:pt>
                <c:pt idx="952">
                  <c:v>3.4543502909624779</c:v>
                </c:pt>
                <c:pt idx="953">
                  <c:v>3.4552743332916123</c:v>
                </c:pt>
                <c:pt idx="954">
                  <c:v>3.4561798607729908</c:v>
                </c:pt>
                <c:pt idx="955">
                  <c:v>3.4570668330319747</c:v>
                </c:pt>
                <c:pt idx="956">
                  <c:v>3.4579352096939227</c:v>
                </c:pt>
                <c:pt idx="957">
                  <c:v>3.4587849503841954</c:v>
                </c:pt>
                <c:pt idx="958">
                  <c:v>3.4596160147281525</c:v>
                </c:pt>
                <c:pt idx="959">
                  <c:v>3.4604283623511543</c:v>
                </c:pt>
                <c:pt idx="960">
                  <c:v>3.4612219528785606</c:v>
                </c:pt>
                <c:pt idx="961">
                  <c:v>3.461996745935731</c:v>
                </c:pt>
                <c:pt idx="962">
                  <c:v>3.4627527011480268</c:v>
                </c:pt>
                <c:pt idx="963">
                  <c:v>3.4634897781408065</c:v>
                </c:pt>
                <c:pt idx="964">
                  <c:v>3.4642079365394318</c:v>
                </c:pt>
                <c:pt idx="965">
                  <c:v>3.4649071359692614</c:v>
                </c:pt>
                <c:pt idx="966">
                  <c:v>3.4655873360556555</c:v>
                </c:pt>
                <c:pt idx="967">
                  <c:v>3.4662484964239741</c:v>
                </c:pt>
                <c:pt idx="968">
                  <c:v>3.4668905766995777</c:v>
                </c:pt>
                <c:pt idx="969">
                  <c:v>3.4675135365078269</c:v>
                </c:pt>
                <c:pt idx="970">
                  <c:v>3.4681173354740804</c:v>
                </c:pt>
                <c:pt idx="971">
                  <c:v>3.468701933223699</c:v>
                </c:pt>
                <c:pt idx="972">
                  <c:v>3.4692672893820422</c:v>
                </c:pt>
                <c:pt idx="973">
                  <c:v>3.4698133635744708</c:v>
                </c:pt>
                <c:pt idx="974">
                  <c:v>3.4703401154263438</c:v>
                </c:pt>
                <c:pt idx="975">
                  <c:v>3.4708475045630216</c:v>
                </c:pt>
                <c:pt idx="976">
                  <c:v>3.4713354906098641</c:v>
                </c:pt>
                <c:pt idx="977">
                  <c:v>3.4718040331922326</c:v>
                </c:pt>
                <c:pt idx="978">
                  <c:v>3.4722530919354857</c:v>
                </c:pt>
                <c:pt idx="979">
                  <c:v>3.4726826264649842</c:v>
                </c:pt>
                <c:pt idx="980">
                  <c:v>3.4730925964060875</c:v>
                </c:pt>
                <c:pt idx="981">
                  <c:v>3.473482961384156</c:v>
                </c:pt>
                <c:pt idx="982">
                  <c:v>3.4738536810245493</c:v>
                </c:pt>
                <c:pt idx="983">
                  <c:v>3.4742047149526281</c:v>
                </c:pt>
                <c:pt idx="984">
                  <c:v>3.4745360227937518</c:v>
                </c:pt>
                <c:pt idx="985">
                  <c:v>3.4748475641732814</c:v>
                </c:pt>
                <c:pt idx="986">
                  <c:v>3.4751392987165755</c:v>
                </c:pt>
                <c:pt idx="987">
                  <c:v>3.4754111860489951</c:v>
                </c:pt>
                <c:pt idx="988">
                  <c:v>3.4756631857959008</c:v>
                </c:pt>
                <c:pt idx="989">
                  <c:v>3.4758952575826507</c:v>
                </c:pt>
                <c:pt idx="990">
                  <c:v>3.4761073610346065</c:v>
                </c:pt>
                <c:pt idx="991">
                  <c:v>3.4762994557771276</c:v>
                </c:pt>
                <c:pt idx="992">
                  <c:v>3.4764715014355736</c:v>
                </c:pt>
                <c:pt idx="993">
                  <c:v>3.4766234576353057</c:v>
                </c:pt>
                <c:pt idx="994">
                  <c:v>3.4767552840016829</c:v>
                </c:pt>
                <c:pt idx="995">
                  <c:v>3.4768669401600656</c:v>
                </c:pt>
                <c:pt idx="996">
                  <c:v>3.4769583857358137</c:v>
                </c:pt>
                <c:pt idx="997">
                  <c:v>3.4770295803542877</c:v>
                </c:pt>
                <c:pt idx="998">
                  <c:v>3.4770804836408473</c:v>
                </c:pt>
                <c:pt idx="999">
                  <c:v>3.4771110552208522</c:v>
                </c:pt>
                <c:pt idx="1000">
                  <c:v>3.4771212547196626</c:v>
                </c:pt>
                <c:pt idx="1001">
                  <c:v>3.4771212547196626</c:v>
                </c:pt>
                <c:pt idx="1002">
                  <c:v>3.4771212547196626</c:v>
                </c:pt>
                <c:pt idx="1003">
                  <c:v>3.4771212547196626</c:v>
                </c:pt>
                <c:pt idx="1004">
                  <c:v>3.4771212547196626</c:v>
                </c:pt>
                <c:pt idx="1005">
                  <c:v>3.4771212547196626</c:v>
                </c:pt>
                <c:pt idx="1006">
                  <c:v>3.4771212547196626</c:v>
                </c:pt>
                <c:pt idx="1007">
                  <c:v>3.4771212547196626</c:v>
                </c:pt>
                <c:pt idx="1008">
                  <c:v>3.4771212547196626</c:v>
                </c:pt>
                <c:pt idx="1009">
                  <c:v>3.4771212547196626</c:v>
                </c:pt>
                <c:pt idx="1010">
                  <c:v>3.4771212547196626</c:v>
                </c:pt>
                <c:pt idx="1011">
                  <c:v>3.4771212547196626</c:v>
                </c:pt>
                <c:pt idx="1012">
                  <c:v>3.4771212547196626</c:v>
                </c:pt>
                <c:pt idx="1013">
                  <c:v>3.4771212547196626</c:v>
                </c:pt>
                <c:pt idx="1014">
                  <c:v>3.4771212547196626</c:v>
                </c:pt>
                <c:pt idx="1015">
                  <c:v>3.4771212547196626</c:v>
                </c:pt>
                <c:pt idx="1016">
                  <c:v>3.4771212547196626</c:v>
                </c:pt>
                <c:pt idx="1017">
                  <c:v>3.4771212547196626</c:v>
                </c:pt>
                <c:pt idx="1018">
                  <c:v>3.4771212547196626</c:v>
                </c:pt>
                <c:pt idx="1019">
                  <c:v>3.4771212547196626</c:v>
                </c:pt>
                <c:pt idx="1020">
                  <c:v>3.4771212547196626</c:v>
                </c:pt>
                <c:pt idx="1021">
                  <c:v>3.4771212547196626</c:v>
                </c:pt>
                <c:pt idx="1022">
                  <c:v>3.4771212547196626</c:v>
                </c:pt>
                <c:pt idx="1023">
                  <c:v>3.4771212547196626</c:v>
                </c:pt>
                <c:pt idx="1024">
                  <c:v>3.4771212547196626</c:v>
                </c:pt>
                <c:pt idx="1025">
                  <c:v>3.4771212547196626</c:v>
                </c:pt>
                <c:pt idx="1026">
                  <c:v>3.4771212547196626</c:v>
                </c:pt>
                <c:pt idx="1027">
                  <c:v>3.4771212547196626</c:v>
                </c:pt>
                <c:pt idx="1028">
                  <c:v>3.4771212547196626</c:v>
                </c:pt>
                <c:pt idx="1029">
                  <c:v>3.4771212547196626</c:v>
                </c:pt>
                <c:pt idx="1030">
                  <c:v>3.4771212547196626</c:v>
                </c:pt>
                <c:pt idx="1031">
                  <c:v>3.4771212547196626</c:v>
                </c:pt>
                <c:pt idx="1032">
                  <c:v>3.4771212547196626</c:v>
                </c:pt>
                <c:pt idx="1033">
                  <c:v>3.4771212547196626</c:v>
                </c:pt>
                <c:pt idx="1034">
                  <c:v>3.4771212547196626</c:v>
                </c:pt>
                <c:pt idx="1035">
                  <c:v>3.4771212547196626</c:v>
                </c:pt>
                <c:pt idx="1036">
                  <c:v>3.4771212547196626</c:v>
                </c:pt>
                <c:pt idx="1037">
                  <c:v>3.4771212547196626</c:v>
                </c:pt>
                <c:pt idx="1038">
                  <c:v>3.4771212547196626</c:v>
                </c:pt>
                <c:pt idx="1039">
                  <c:v>3.4771212547196626</c:v>
                </c:pt>
                <c:pt idx="1040">
                  <c:v>3.4771212547196626</c:v>
                </c:pt>
                <c:pt idx="1041">
                  <c:v>3.4771212547196626</c:v>
                </c:pt>
                <c:pt idx="1042">
                  <c:v>3.4771212547196626</c:v>
                </c:pt>
                <c:pt idx="1043">
                  <c:v>3.4771212547196626</c:v>
                </c:pt>
                <c:pt idx="1044">
                  <c:v>3.4771212547196626</c:v>
                </c:pt>
                <c:pt idx="1045">
                  <c:v>3.4771212547196626</c:v>
                </c:pt>
                <c:pt idx="1046">
                  <c:v>3.4771212547196626</c:v>
                </c:pt>
                <c:pt idx="1047">
                  <c:v>3.4771212547196626</c:v>
                </c:pt>
                <c:pt idx="1048">
                  <c:v>3.4771212547196626</c:v>
                </c:pt>
                <c:pt idx="1049">
                  <c:v>3.4771212547196626</c:v>
                </c:pt>
                <c:pt idx="1050">
                  <c:v>3.4771212547196626</c:v>
                </c:pt>
              </c:numCache>
            </c:numRef>
          </c:yVal>
          <c:smooth val="0"/>
          <c:extLst>
            <c:ext xmlns:c16="http://schemas.microsoft.com/office/drawing/2014/chart" uri="{C3380CC4-5D6E-409C-BE32-E72D297353CC}">
              <c16:uniqueId val="{00000006-6091-477C-A5F9-09DB564A1D2E}"/>
            </c:ext>
          </c:extLst>
        </c:ser>
        <c:dLbls>
          <c:showLegendKey val="0"/>
          <c:showVal val="0"/>
          <c:showCatName val="0"/>
          <c:showSerName val="0"/>
          <c:showPercent val="0"/>
          <c:showBubbleSize val="0"/>
        </c:dLbls>
        <c:axId val="1292577295"/>
        <c:axId val="1296221023"/>
        <c:extLst/>
      </c:scatterChart>
      <c:scatterChart>
        <c:scatterStyle val="lineMarker"/>
        <c:varyColors val="0"/>
        <c:ser>
          <c:idx val="4"/>
          <c:order val="0"/>
          <c:tx>
            <c:v>Point A and B</c:v>
          </c:tx>
          <c:spPr>
            <a:ln w="19050" cap="rnd">
              <a:solidFill>
                <a:schemeClr val="tx1"/>
              </a:solidFill>
              <a:round/>
            </a:ln>
            <a:effectLst/>
          </c:spPr>
          <c:marker>
            <c:symbol val="diamond"/>
            <c:size val="13"/>
            <c:spPr>
              <a:solidFill>
                <a:schemeClr val="accent2"/>
              </a:solidFill>
              <a:ln w="15875">
                <a:solidFill>
                  <a:schemeClr val="tx1"/>
                </a:solidFill>
              </a:ln>
              <a:effectLst/>
            </c:spPr>
          </c:marker>
          <c:dLbls>
            <c:dLbl>
              <c:idx val="0"/>
              <c:layout>
                <c:manualLayout>
                  <c:x val="-7.8431387226856289E-2"/>
                  <c:y val="-2.3121387283236993E-2"/>
                </c:manualLayout>
              </c:layout>
              <c:tx>
                <c:rich>
                  <a:bodyPr/>
                  <a:lstStyle/>
                  <a:p>
                    <a:r>
                      <a:rPr lang="en-US" b="1"/>
                      <a:t>B</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6091-477C-A5F9-09DB564A1D2E}"/>
                </c:ext>
              </c:extLst>
            </c:dLbl>
            <c:dLbl>
              <c:idx val="1"/>
              <c:layout>
                <c:manualLayout>
                  <c:x val="3.0897213149973665E-2"/>
                  <c:y val="-3.4682080924855488E-2"/>
                </c:manualLayout>
              </c:layout>
              <c:tx>
                <c:rich>
                  <a:bodyPr/>
                  <a:lstStyle/>
                  <a:p>
                    <a:r>
                      <a:rPr lang="en-US" b="1"/>
                      <a:t>A</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6091-477C-A5F9-09DB564A1D2E}"/>
                </c:ext>
              </c:extLst>
            </c:dLbl>
            <c:spPr>
              <a:solidFill>
                <a:schemeClr val="lt1"/>
              </a:solidFill>
              <a:ln w="12700" cap="flat" cmpd="sng" algn="ctr">
                <a:solidFill>
                  <a:schemeClr val="dk1"/>
                </a:solidFill>
                <a:prstDash val="solid"/>
                <a:miter lim="800000"/>
              </a:ln>
              <a:effectLst/>
            </c:spPr>
            <c:txPr>
              <a:bodyPr wrap="square" lIns="38100" tIns="19050" rIns="38100" bIns="19050" anchor="ctr">
                <a:spAutoFit/>
              </a:bodyPr>
              <a:lstStyle/>
              <a:p>
                <a:pPr>
                  <a:defRPr>
                    <a:solidFill>
                      <a:schemeClr val="dk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xVal>
            <c:numRef>
              <c:f>(Sheet1!$D$9,Sheet1!$D$8)</c:f>
              <c:numCache>
                <c:formatCode>General</c:formatCode>
                <c:ptCount val="2"/>
                <c:pt idx="0">
                  <c:v>0.99718012695849811</c:v>
                </c:pt>
                <c:pt idx="1">
                  <c:v>0</c:v>
                </c:pt>
              </c:numCache>
            </c:numRef>
          </c:xVal>
          <c:yVal>
            <c:numRef>
              <c:f>(Sheet1!$E$9,Sheet1!$E$8)</c:f>
              <c:numCache>
                <c:formatCode>General</c:formatCode>
                <c:ptCount val="2"/>
                <c:pt idx="0">
                  <c:v>7.5045282323631224E-2</c:v>
                </c:pt>
                <c:pt idx="1">
                  <c:v>0</c:v>
                </c:pt>
              </c:numCache>
            </c:numRef>
          </c:yVal>
          <c:smooth val="0"/>
          <c:extLst>
            <c:ext xmlns:c16="http://schemas.microsoft.com/office/drawing/2014/chart" uri="{C3380CC4-5D6E-409C-BE32-E72D297353CC}">
              <c16:uniqueId val="{00000002-6091-477C-A5F9-09DB564A1D2E}"/>
            </c:ext>
          </c:extLst>
        </c:ser>
        <c:ser>
          <c:idx val="5"/>
          <c:order val="1"/>
          <c:tx>
            <c:v>Point C and D</c:v>
          </c:tx>
          <c:spPr>
            <a:ln w="19050" cap="rnd">
              <a:solidFill>
                <a:srgbClr val="000000"/>
              </a:solidFill>
              <a:round/>
            </a:ln>
            <a:effectLst/>
          </c:spPr>
          <c:marker>
            <c:symbol val="diamond"/>
            <c:size val="13"/>
            <c:spPr>
              <a:solidFill>
                <a:schemeClr val="accent4">
                  <a:lumMod val="60000"/>
                  <a:lumOff val="40000"/>
                </a:schemeClr>
              </a:solidFill>
              <a:ln w="15875">
                <a:solidFill>
                  <a:schemeClr val="tx1"/>
                </a:solidFill>
              </a:ln>
              <a:effectLst/>
            </c:spPr>
          </c:marker>
          <c:dLbls>
            <c:dLbl>
              <c:idx val="0"/>
              <c:layout>
                <c:manualLayout>
                  <c:x val="-2.3767087038441734E-3"/>
                  <c:y val="-5.7803468208092484E-2"/>
                </c:manualLayout>
              </c:layout>
              <c:tx>
                <c:rich>
                  <a:bodyPr/>
                  <a:lstStyle/>
                  <a:p>
                    <a:r>
                      <a:rPr lang="en-US" b="1"/>
                      <a:t>C</a:t>
                    </a:r>
                  </a:p>
                </c:rich>
              </c:tx>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6091-477C-A5F9-09DB564A1D2E}"/>
                </c:ext>
              </c:extLst>
            </c:dLbl>
            <c:dLbl>
              <c:idx val="1"/>
              <c:layout>
                <c:manualLayout>
                  <c:x val="0"/>
                  <c:y val="-5.7803468208092484E-2"/>
                </c:manualLayout>
              </c:layout>
              <c:tx>
                <c:rich>
                  <a:bodyPr/>
                  <a:lstStyle/>
                  <a:p>
                    <a:r>
                      <a:rPr lang="en-US" b="1"/>
                      <a:t>D</a:t>
                    </a:r>
                  </a:p>
                </c:rich>
              </c:tx>
              <c:showLegendKey val="0"/>
              <c:showVal val="1"/>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6091-477C-A5F9-09DB564A1D2E}"/>
                </c:ext>
              </c:extLst>
            </c:dLbl>
            <c:spPr>
              <a:solidFill>
                <a:schemeClr val="lt1"/>
              </a:solidFill>
              <a:ln w="12700" cap="flat" cmpd="sng" algn="ctr">
                <a:solidFill>
                  <a:schemeClr val="dk1"/>
                </a:solidFill>
                <a:prstDash val="solid"/>
                <a:miter lim="800000"/>
              </a:ln>
              <a:effectLst/>
            </c:spPr>
            <c:txPr>
              <a:bodyPr wrap="square" lIns="38100" tIns="19050" rIns="38100" bIns="19050" anchor="ctr">
                <a:spAutoFit/>
              </a:bodyPr>
              <a:lstStyle/>
              <a:p>
                <a:pPr>
                  <a:defRPr>
                    <a:solidFill>
                      <a:schemeClr val="dk1"/>
                    </a:solidFill>
                    <a:latin typeface="+mn-lt"/>
                    <a:ea typeface="+mn-ea"/>
                    <a:cs typeface="+mn-cs"/>
                  </a:defRPr>
                </a:pPr>
                <a:endParaRPr lang="en-US"/>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(Sheet1!$D$10,Sheet1!$D$11)</c:f>
              <c:numCache>
                <c:formatCode>General</c:formatCode>
                <c:ptCount val="2"/>
                <c:pt idx="0">
                  <c:v>46.203000000000003</c:v>
                </c:pt>
                <c:pt idx="1">
                  <c:v>50</c:v>
                </c:pt>
              </c:numCache>
            </c:numRef>
          </c:xVal>
          <c:yVal>
            <c:numRef>
              <c:f>(Sheet1!$E$10,Sheet1!$E$11)</c:f>
              <c:numCache>
                <c:formatCode>General</c:formatCode>
                <c:ptCount val="2"/>
                <c:pt idx="0">
                  <c:v>3.4771212547196626</c:v>
                </c:pt>
                <c:pt idx="1">
                  <c:v>3.4771212547196626</c:v>
                </c:pt>
              </c:numCache>
            </c:numRef>
          </c:yVal>
          <c:smooth val="0"/>
          <c:extLst>
            <c:ext xmlns:c16="http://schemas.microsoft.com/office/drawing/2014/chart" uri="{C3380CC4-5D6E-409C-BE32-E72D297353CC}">
              <c16:uniqueId val="{00000005-6091-477C-A5F9-09DB564A1D2E}"/>
            </c:ext>
          </c:extLst>
        </c:ser>
        <c:ser>
          <c:idx val="0"/>
          <c:order val="2"/>
          <c:tx>
            <c:v>Interpolated Log(N)</c:v>
          </c:tx>
          <c:spPr>
            <a:ln w="19050">
              <a:noFill/>
            </a:ln>
          </c:spPr>
          <c:marker>
            <c:symbol val="diamond"/>
            <c:size val="3"/>
          </c:marker>
          <c:xVal>
            <c:numRef>
              <c:f>Sheet1!$X$8:$X$108</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extLst xmlns:c15="http://schemas.microsoft.com/office/drawing/2012/chart"/>
            </c:numRef>
          </c:xVal>
          <c:yVal>
            <c:numRef>
              <c:f>Sheet1!$Y$8:$Y$108</c:f>
              <c:numCache>
                <c:formatCode>0.0000</c:formatCode>
                <c:ptCount val="101"/>
                <c:pt idx="0">
                  <c:v>0</c:v>
                </c:pt>
                <c:pt idx="1">
                  <c:v>7.5121784085380158E-2</c:v>
                </c:pt>
                <c:pt idx="2">
                  <c:v>0.15006816355113517</c:v>
                </c:pt>
                <c:pt idx="3">
                  <c:v>0.22488180575944197</c:v>
                </c:pt>
                <c:pt idx="4">
                  <c:v>0.29957741589113585</c:v>
                </c:pt>
                <c:pt idx="5">
                  <c:v>0.37416247178044176</c:v>
                </c:pt>
                <c:pt idx="6">
                  <c:v>0.44864117878629567</c:v>
                </c:pt>
                <c:pt idx="7">
                  <c:v>0.52301587399255722</c:v>
                </c:pt>
                <c:pt idx="8">
                  <c:v>0.59728765413848506</c:v>
                </c:pt>
                <c:pt idx="9">
                  <c:v>0.67145677161520023</c:v>
                </c:pt>
                <c:pt idx="10">
                  <c:v>0.74552280341850352</c:v>
                </c:pt>
                <c:pt idx="11">
                  <c:v>0.81948478071914033</c:v>
                </c:pt>
                <c:pt idx="12">
                  <c:v>0.89334119861775996</c:v>
                </c:pt>
                <c:pt idx="13">
                  <c:v>0.96709029898160948</c:v>
                </c:pt>
                <c:pt idx="14">
                  <c:v>1.0407297848565371</c:v>
                </c:pt>
                <c:pt idx="15">
                  <c:v>1.1142570008970425</c:v>
                </c:pt>
                <c:pt idx="16">
                  <c:v>1.1876689094044997</c:v>
                </c:pt>
                <c:pt idx="17">
                  <c:v>1.2609621164882661</c:v>
                </c:pt>
                <c:pt idx="18">
                  <c:v>1.3341327162194341</c:v>
                </c:pt>
                <c:pt idx="19">
                  <c:v>1.4071766379057171</c:v>
                </c:pt>
                <c:pt idx="20">
                  <c:v>1.480088913599376</c:v>
                </c:pt>
                <c:pt idx="21">
                  <c:v>1.5528644991986522</c:v>
                </c:pt>
                <c:pt idx="22">
                  <c:v>1.6254976119282472</c:v>
                </c:pt>
                <c:pt idx="23">
                  <c:v>1.6979818711886918</c:v>
                </c:pt>
                <c:pt idx="24">
                  <c:v>1.7703102391144401</c:v>
                </c:pt>
                <c:pt idx="25">
                  <c:v>1.8424749336142061</c:v>
                </c:pt>
                <c:pt idx="26">
                  <c:v>1.9144673272447943</c:v>
                </c:pt>
                <c:pt idx="27">
                  <c:v>1.986277829147979</c:v>
                </c:pt>
                <c:pt idx="28">
                  <c:v>2.057895746643593</c:v>
                </c:pt>
                <c:pt idx="29">
                  <c:v>2.1293091222661098</c:v>
                </c:pt>
                <c:pt idx="30">
                  <c:v>2.2005044951966224</c:v>
                </c:pt>
                <c:pt idx="31">
                  <c:v>2.2714665038448061</c:v>
                </c:pt>
                <c:pt idx="32">
                  <c:v>2.342178191033915</c:v>
                </c:pt>
                <c:pt idx="33">
                  <c:v>2.4126197218443908</c:v>
                </c:pt>
                <c:pt idx="34">
                  <c:v>2.4827686346259514</c:v>
                </c:pt>
                <c:pt idx="35">
                  <c:v>2.5525985113767833</c:v>
                </c:pt>
                <c:pt idx="36">
                  <c:v>2.6220786543567081</c:v>
                </c:pt>
                <c:pt idx="37">
                  <c:v>2.6911731828183036</c:v>
                </c:pt>
                <c:pt idx="38">
                  <c:v>2.7598388305785848</c:v>
                </c:pt>
                <c:pt idx="39">
                  <c:v>2.8280235668163245</c:v>
                </c:pt>
                <c:pt idx="40">
                  <c:v>2.8956629520400483</c:v>
                </c:pt>
                <c:pt idx="41">
                  <c:v>2.9626771451454137</c:v>
                </c:pt>
                <c:pt idx="42">
                  <c:v>3.0289631726281194</c:v>
                </c:pt>
                <c:pt idx="43">
                  <c:v>3.094386217625583</c:v>
                </c:pt>
                <c:pt idx="44">
                  <c:v>3.1587630360984291</c:v>
                </c:pt>
                <c:pt idx="45">
                  <c:v>3.2218327142289032</c:v>
                </c:pt>
                <c:pt idx="46">
                  <c:v>3.2832030295494365</c:v>
                </c:pt>
                <c:pt idx="47">
                  <c:v>3.342229874161216</c:v>
                </c:pt>
                <c:pt idx="48">
                  <c:v>3.3977157114487948</c:v>
                </c:pt>
                <c:pt idx="49">
                  <c:v>3.4468421488875371</c:v>
                </c:pt>
                <c:pt idx="50">
                  <c:v>3.4771212547196626</c:v>
                </c:pt>
                <c:pt idx="51">
                  <c:v>3.4771212547196626</c:v>
                </c:pt>
                <c:pt idx="52">
                  <c:v>3.4771212547196626</c:v>
                </c:pt>
                <c:pt idx="53">
                  <c:v>3.4771212547196626</c:v>
                </c:pt>
                <c:pt idx="54">
                  <c:v>3.4771212547196626</c:v>
                </c:pt>
                <c:pt idx="55">
                  <c:v>3.4771212547196626</c:v>
                </c:pt>
                <c:pt idx="56">
                  <c:v>3.4771212547196626</c:v>
                </c:pt>
                <c:pt idx="57">
                  <c:v>3.4771212547196626</c:v>
                </c:pt>
                <c:pt idx="58">
                  <c:v>3.4771212547196626</c:v>
                </c:pt>
                <c:pt idx="59">
                  <c:v>3.4771212547196626</c:v>
                </c:pt>
                <c:pt idx="60">
                  <c:v>3.4771212547196626</c:v>
                </c:pt>
                <c:pt idx="61">
                  <c:v>3.4771212547196626</c:v>
                </c:pt>
                <c:pt idx="62">
                  <c:v>3.4771212547196626</c:v>
                </c:pt>
                <c:pt idx="63">
                  <c:v>3.4771212547196626</c:v>
                </c:pt>
                <c:pt idx="64">
                  <c:v>3.4771212547196626</c:v>
                </c:pt>
                <c:pt idx="65">
                  <c:v>3.4771212547196626</c:v>
                </c:pt>
                <c:pt idx="66">
                  <c:v>3.4771212547196626</c:v>
                </c:pt>
                <c:pt idx="67">
                  <c:v>3.4771212547196626</c:v>
                </c:pt>
                <c:pt idx="68">
                  <c:v>3.4771212547196626</c:v>
                </c:pt>
                <c:pt idx="69">
                  <c:v>3.4771212547196626</c:v>
                </c:pt>
                <c:pt idx="70">
                  <c:v>3.4771212547196626</c:v>
                </c:pt>
                <c:pt idx="71">
                  <c:v>3.4771212547196626</c:v>
                </c:pt>
                <c:pt idx="72">
                  <c:v>3.4771212547196626</c:v>
                </c:pt>
                <c:pt idx="73">
                  <c:v>3.4771212547196626</c:v>
                </c:pt>
                <c:pt idx="74">
                  <c:v>3.4771212547196626</c:v>
                </c:pt>
                <c:pt idx="75">
                  <c:v>3.4771212547196626</c:v>
                </c:pt>
                <c:pt idx="76">
                  <c:v>3.4771212547196626</c:v>
                </c:pt>
                <c:pt idx="77">
                  <c:v>3.4771212547196626</c:v>
                </c:pt>
                <c:pt idx="78">
                  <c:v>3.4771212547196626</c:v>
                </c:pt>
                <c:pt idx="79">
                  <c:v>3.4771212547196626</c:v>
                </c:pt>
                <c:pt idx="80">
                  <c:v>3.4771212547196626</c:v>
                </c:pt>
                <c:pt idx="81">
                  <c:v>3.4771212547196626</c:v>
                </c:pt>
                <c:pt idx="82">
                  <c:v>3.4771212547196626</c:v>
                </c:pt>
                <c:pt idx="83">
                  <c:v>3.4771212547196626</c:v>
                </c:pt>
                <c:pt idx="84">
                  <c:v>3.4771212547196626</c:v>
                </c:pt>
                <c:pt idx="85">
                  <c:v>3.4771212547196626</c:v>
                </c:pt>
                <c:pt idx="86">
                  <c:v>3.4771212547196626</c:v>
                </c:pt>
                <c:pt idx="87">
                  <c:v>3.4771212547196626</c:v>
                </c:pt>
                <c:pt idx="88">
                  <c:v>3.4771212547196626</c:v>
                </c:pt>
                <c:pt idx="89">
                  <c:v>3.4771212547196626</c:v>
                </c:pt>
                <c:pt idx="90">
                  <c:v>3.4771212547196626</c:v>
                </c:pt>
                <c:pt idx="91">
                  <c:v>3.4771212547196626</c:v>
                </c:pt>
                <c:pt idx="92">
                  <c:v>3.4771212547196626</c:v>
                </c:pt>
                <c:pt idx="93">
                  <c:v>3.4771212547196626</c:v>
                </c:pt>
                <c:pt idx="94">
                  <c:v>3.4771212547196626</c:v>
                </c:pt>
                <c:pt idx="95">
                  <c:v>3.4771212547196626</c:v>
                </c:pt>
                <c:pt idx="96">
                  <c:v>3.4771212547196626</c:v>
                </c:pt>
                <c:pt idx="97">
                  <c:v>3.4771212547196626</c:v>
                </c:pt>
                <c:pt idx="98">
                  <c:v>3.4771212547196626</c:v>
                </c:pt>
                <c:pt idx="99">
                  <c:v>3.4771212547196626</c:v>
                </c:pt>
                <c:pt idx="100">
                  <c:v>3.4771212547196626</c:v>
                </c:pt>
              </c:numCache>
              <c:extLst xmlns:c15="http://schemas.microsoft.com/office/drawing/2012/chart"/>
            </c:numRef>
          </c:yVal>
          <c:smooth val="0"/>
          <c:extLst xmlns:c15="http://schemas.microsoft.com/office/drawing/2012/chart">
            <c:ext xmlns:c16="http://schemas.microsoft.com/office/drawing/2014/chart" uri="{C3380CC4-5D6E-409C-BE32-E72D297353CC}">
              <c16:uniqueId val="{00000007-6091-477C-A5F9-09DB564A1D2E}"/>
            </c:ext>
          </c:extLst>
        </c:ser>
        <c:dLbls>
          <c:showLegendKey val="0"/>
          <c:showVal val="0"/>
          <c:showCatName val="0"/>
          <c:showSerName val="0"/>
          <c:showPercent val="0"/>
          <c:showBubbleSize val="0"/>
        </c:dLbls>
        <c:axId val="1292577295"/>
        <c:axId val="1296221023"/>
      </c:scatterChart>
      <c:valAx>
        <c:axId val="1292577295"/>
        <c:scaling>
          <c:orientation val="minMax"/>
          <c:max val="100"/>
        </c:scaling>
        <c:delete val="0"/>
        <c:axPos val="b"/>
        <c:majorGridlines>
          <c:spPr>
            <a:ln w="9525" cap="flat" cmpd="sng" algn="ctr">
              <a:solidFill>
                <a:schemeClr val="bg1">
                  <a:lumMod val="95000"/>
                </a:schemeClr>
              </a:solidFill>
              <a:round/>
            </a:ln>
            <a:effectLst/>
          </c:spPr>
        </c:majorGridlines>
        <c:title>
          <c:tx>
            <c:rich>
              <a:bodyPr/>
              <a:lstStyle/>
              <a:p>
                <a:pPr>
                  <a:defRPr/>
                </a:pPr>
                <a:r>
                  <a:rPr lang="en-GB"/>
                  <a:t>t (years)</a:t>
                </a:r>
              </a:p>
              <a:p>
                <a:pPr>
                  <a:defRPr/>
                </a:pPr>
                <a:endParaRPr lang="en-GB"/>
              </a:p>
            </c:rich>
          </c:tx>
          <c:overlay val="0"/>
        </c:title>
        <c:numFmt formatCode="0" sourceLinked="0"/>
        <c:majorTickMark val="in"/>
        <c:minorTickMark val="none"/>
        <c:tickLblPos val="low"/>
        <c:spPr>
          <a:noFill/>
          <a:ln w="9525" cap="flat" cmpd="sng" algn="ctr">
            <a:solidFill>
              <a:schemeClr val="tx1">
                <a:lumMod val="25000"/>
                <a:lumOff val="75000"/>
              </a:schemeClr>
            </a:solidFill>
            <a:round/>
          </a:ln>
          <a:effectLst/>
        </c:spPr>
        <c:txPr>
          <a:bodyPr rot="0" spcFirstLastPara="1" vertOverflow="ellipsis" vert="horz" wrap="square" anchor="b" anchorCtr="0"/>
          <a:lstStyle/>
          <a:p>
            <a:pPr>
              <a:defRPr sz="900" b="0" i="0" u="none" strike="noStrike" kern="1200" baseline="0">
                <a:solidFill>
                  <a:schemeClr val="tx1">
                    <a:lumMod val="65000"/>
                    <a:lumOff val="35000"/>
                  </a:schemeClr>
                </a:solidFill>
                <a:latin typeface="+mn-lt"/>
                <a:ea typeface="+mn-ea"/>
                <a:cs typeface="+mn-cs"/>
              </a:defRPr>
            </a:pPr>
            <a:endParaRPr lang="en-US"/>
          </a:p>
        </c:txPr>
        <c:crossAx val="1296221023"/>
        <c:crosses val="autoZero"/>
        <c:crossBetween val="midCat"/>
      </c:valAx>
      <c:valAx>
        <c:axId val="1296221023"/>
        <c:scaling>
          <c:orientation val="minMax"/>
        </c:scaling>
        <c:delete val="0"/>
        <c:axPos val="l"/>
        <c:majorGridlines>
          <c:spPr>
            <a:ln w="9525" cap="flat" cmpd="sng" algn="ctr">
              <a:solidFill>
                <a:schemeClr val="bg1">
                  <a:lumMod val="95000"/>
                </a:schemeClr>
              </a:solidFill>
              <a:round/>
            </a:ln>
            <a:effectLst/>
          </c:spPr>
        </c:majorGridlines>
        <c:title>
          <c:tx>
            <c:rich>
              <a:bodyPr/>
              <a:lstStyle/>
              <a:p>
                <a:pPr>
                  <a:defRPr/>
                </a:pPr>
                <a:r>
                  <a:rPr lang="en-GB"/>
                  <a:t>LOG(N</a:t>
                </a:r>
                <a:r>
                  <a:rPr lang="en-GB" baseline="0"/>
                  <a:t>)</a:t>
                </a:r>
                <a:endParaRPr lang="en-GB"/>
              </a:p>
            </c:rich>
          </c:tx>
          <c:overlay val="0"/>
        </c:title>
        <c:numFmt formatCode="General" sourceLinked="1"/>
        <c:majorTickMark val="in"/>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2577295"/>
        <c:crosses val="autoZero"/>
        <c:crossBetween val="midCat"/>
      </c:valAx>
      <c:spPr>
        <a:ln>
          <a:solidFill>
            <a:schemeClr val="tx1">
              <a:lumMod val="25000"/>
              <a:lumOff val="75000"/>
            </a:schemeClr>
          </a:solidFill>
        </a:ln>
      </c:spPr>
    </c:plotArea>
    <c:legend>
      <c:legendPos val="r"/>
      <c:layout>
        <c:manualLayout>
          <c:xMode val="edge"/>
          <c:yMode val="edge"/>
          <c:x val="0.5935816887881481"/>
          <c:y val="0.44943789540758272"/>
          <c:w val="0.30433885952416417"/>
          <c:h val="0.27873469573528742"/>
        </c:manualLayout>
      </c:layout>
      <c:overlay val="1"/>
    </c:legend>
    <c:plotVisOnly val="1"/>
    <c:dispBlanksAs val="gap"/>
    <c:showDLblsOverMax val="0"/>
    <c:extLst/>
  </c:chart>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b="0">
                <a:solidFill>
                  <a:schemeClr val="bg2">
                    <a:lumMod val="25000"/>
                  </a:schemeClr>
                </a:solidFill>
              </a:rPr>
              <a:t> Plant Construction Rate (PCR) over time</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lotArea>
      <c:layout/>
      <c:scatterChart>
        <c:scatterStyle val="smoothMarker"/>
        <c:varyColors val="0"/>
        <c:ser>
          <c:idx val="0"/>
          <c:order val="0"/>
          <c:tx>
            <c:v>Building rate</c:v>
          </c:tx>
          <c:spPr>
            <a:ln w="15875" cap="rnd">
              <a:solidFill>
                <a:srgbClr val="FF0000"/>
              </a:solidFill>
              <a:round/>
            </a:ln>
            <a:effectLst/>
          </c:spPr>
          <c:marker>
            <c:symbol val="diamond"/>
            <c:size val="3"/>
            <c:spPr>
              <a:solidFill>
                <a:srgbClr val="FF0000"/>
              </a:solidFill>
              <a:ln w="9525">
                <a:solidFill>
                  <a:srgbClr val="FF0000"/>
                </a:solidFill>
                <a:round/>
              </a:ln>
              <a:effectLst/>
            </c:spPr>
          </c:marker>
          <c:xVal>
            <c:numRef>
              <c:f>Sheet1!$AB$8:$AB$108</c:f>
              <c:numCache>
                <c:formatCode>0</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extLst xmlns:c15="http://schemas.microsoft.com/office/drawing/2012/chart"/>
            </c:numRef>
          </c:xVal>
          <c:yVal>
            <c:numRef>
              <c:f>Sheet1!$AD$8:$AD$108</c:f>
              <c:numCache>
                <c:formatCode>0.0000</c:formatCode>
                <c:ptCount val="101"/>
                <c:pt idx="1">
                  <c:v>0.18883555184851453</c:v>
                </c:pt>
                <c:pt idx="2">
                  <c:v>0.22392371129825728</c:v>
                </c:pt>
                <c:pt idx="3">
                  <c:v>0.26558792677331522</c:v>
                </c:pt>
                <c:pt idx="4">
                  <c:v>0.31497460749675188</c:v>
                </c:pt>
                <c:pt idx="5">
                  <c:v>0.37348316827452632</c:v>
                </c:pt>
                <c:pt idx="6">
                  <c:v>0.44277358567355041</c:v>
                </c:pt>
                <c:pt idx="7">
                  <c:v>0.52480744991183048</c:v>
                </c:pt>
                <c:pt idx="8">
                  <c:v>0.6218997702621607</c:v>
                </c:pt>
                <c:pt idx="9">
                  <c:v>0.73678141439362044</c:v>
                </c:pt>
                <c:pt idx="10">
                  <c:v>0.87267138816416789</c:v>
                </c:pt>
                <c:pt idx="11">
                  <c:v>1.0333625076393274</c:v>
                </c:pt>
                <c:pt idx="12">
                  <c:v>1.2233201486966188</c:v>
                </c:pt>
                <c:pt idx="13">
                  <c:v>1.4478042783761067</c:v>
                </c:pt>
                <c:pt idx="14">
                  <c:v>1.7129970709636293</c:v>
                </c:pt>
                <c:pt idx="15">
                  <c:v>2.0261694446786986</c:v>
                </c:pt>
                <c:pt idx="16">
                  <c:v>2.395863610684188</c:v>
                </c:pt>
                <c:pt idx="17">
                  <c:v>2.8321104730575204</c:v>
                </c:pt>
                <c:pt idx="18">
                  <c:v>3.3466728504686323</c:v>
                </c:pt>
                <c:pt idx="19">
                  <c:v>3.9533586235903115</c:v>
                </c:pt>
                <c:pt idx="20">
                  <c:v>4.6683030359524942</c:v>
                </c:pt>
                <c:pt idx="21">
                  <c:v>5.5104379472693488</c:v>
                </c:pt>
                <c:pt idx="22">
                  <c:v>6.5018571932862486</c:v>
                </c:pt>
                <c:pt idx="23">
                  <c:v>7.6683705306708276</c:v>
                </c:pt>
                <c:pt idx="24">
                  <c:v>9.0400784359586481</c:v>
                </c:pt>
                <c:pt idx="25">
                  <c:v>10.652034733842861</c:v>
                </c:pt>
                <c:pt idx="26">
                  <c:v>12.544997294912108</c:v>
                </c:pt>
                <c:pt idx="27">
                  <c:v>14.766271869320462</c:v>
                </c:pt>
                <c:pt idx="28">
                  <c:v>17.370653099527644</c:v>
                </c:pt>
                <c:pt idx="29">
                  <c:v>20.42146347503531</c:v>
                </c:pt>
                <c:pt idx="30">
                  <c:v>23.991669050587205</c:v>
                </c:pt>
                <c:pt idx="31">
                  <c:v>28.353858036032648</c:v>
                </c:pt>
                <c:pt idx="32">
                  <c:v>33.261550954193723</c:v>
                </c:pt>
                <c:pt idx="33">
                  <c:v>38.984164831398765</c:v>
                </c:pt>
                <c:pt idx="34">
                  <c:v>45.646759797900003</c:v>
                </c:pt>
                <c:pt idx="35">
                  <c:v>53.389642808346387</c:v>
                </c:pt>
                <c:pt idx="36">
                  <c:v>62.369486872732423</c:v>
                </c:pt>
                <c:pt idx="37">
                  <c:v>72.759062079221195</c:v>
                </c:pt>
                <c:pt idx="38">
                  <c:v>84.744653709958556</c:v>
                </c:pt>
                <c:pt idx="39">
                  <c:v>98.523529931743525</c:v>
                </c:pt>
                <c:pt idx="40">
                  <c:v>114.29471019543648</c:v>
                </c:pt>
                <c:pt idx="41">
                  <c:v>132.24830862842234</c:v>
                </c:pt>
                <c:pt idx="42">
                  <c:v>152.53738831859138</c:v>
                </c:pt>
                <c:pt idx="43">
                  <c:v>175.24057390627047</c:v>
                </c:pt>
                <c:pt idx="44">
                  <c:v>200.2847036675214</c:v>
                </c:pt>
                <c:pt idx="45">
                  <c:v>227.30259376728387</c:v>
                </c:pt>
                <c:pt idx="46">
                  <c:v>255.35664809516257</c:v>
                </c:pt>
                <c:pt idx="47">
                  <c:v>282.28971479616456</c:v>
                </c:pt>
                <c:pt idx="48">
                  <c:v>303.03232906778749</c:v>
                </c:pt>
                <c:pt idx="49">
                  <c:v>303.2083548878814</c:v>
                </c:pt>
                <c:pt idx="50">
                  <c:v>206.70413201754289</c:v>
                </c:pt>
                <c:pt idx="51">
                  <c:v>5.5104379472693488</c:v>
                </c:pt>
                <c:pt idx="52">
                  <c:v>6.5018571932862486</c:v>
                </c:pt>
                <c:pt idx="53">
                  <c:v>7.6683705306708276</c:v>
                </c:pt>
                <c:pt idx="54">
                  <c:v>9.0400784359586481</c:v>
                </c:pt>
                <c:pt idx="55">
                  <c:v>10.652034733842861</c:v>
                </c:pt>
                <c:pt idx="56">
                  <c:v>12.544997294912108</c:v>
                </c:pt>
                <c:pt idx="57">
                  <c:v>14.766271869320462</c:v>
                </c:pt>
                <c:pt idx="58">
                  <c:v>17.370653099527644</c:v>
                </c:pt>
                <c:pt idx="59">
                  <c:v>20.42146347503531</c:v>
                </c:pt>
                <c:pt idx="60">
                  <c:v>23.991669050587205</c:v>
                </c:pt>
                <c:pt idx="61">
                  <c:v>28.353858036032648</c:v>
                </c:pt>
                <c:pt idx="62">
                  <c:v>33.261550954193723</c:v>
                </c:pt>
                <c:pt idx="63">
                  <c:v>38.984164831398765</c:v>
                </c:pt>
                <c:pt idx="64">
                  <c:v>45.646759797900003</c:v>
                </c:pt>
                <c:pt idx="65">
                  <c:v>53.389642808346387</c:v>
                </c:pt>
                <c:pt idx="66">
                  <c:v>62.369486872732423</c:v>
                </c:pt>
                <c:pt idx="67">
                  <c:v>72.759062079221195</c:v>
                </c:pt>
                <c:pt idx="68">
                  <c:v>84.744653709958556</c:v>
                </c:pt>
                <c:pt idx="69">
                  <c:v>98.523529931743525</c:v>
                </c:pt>
                <c:pt idx="70">
                  <c:v>114.29471019543648</c:v>
                </c:pt>
                <c:pt idx="71">
                  <c:v>132.24830862842234</c:v>
                </c:pt>
                <c:pt idx="72">
                  <c:v>152.53738831859138</c:v>
                </c:pt>
                <c:pt idx="73">
                  <c:v>175.24057390627047</c:v>
                </c:pt>
                <c:pt idx="74">
                  <c:v>200.2847036675214</c:v>
                </c:pt>
                <c:pt idx="75">
                  <c:v>227.30259376728387</c:v>
                </c:pt>
                <c:pt idx="76">
                  <c:v>255.35664809516257</c:v>
                </c:pt>
                <c:pt idx="77">
                  <c:v>282.28971479616456</c:v>
                </c:pt>
                <c:pt idx="78">
                  <c:v>303.03232906778749</c:v>
                </c:pt>
                <c:pt idx="79">
                  <c:v>303.2083548878814</c:v>
                </c:pt>
                <c:pt idx="80">
                  <c:v>206.70413201754289</c:v>
                </c:pt>
                <c:pt idx="81">
                  <c:v>5.5104379472693488</c:v>
                </c:pt>
                <c:pt idx="82">
                  <c:v>6.5018571932862486</c:v>
                </c:pt>
                <c:pt idx="83">
                  <c:v>7.6683705306708276</c:v>
                </c:pt>
                <c:pt idx="84">
                  <c:v>9.0400784359586481</c:v>
                </c:pt>
                <c:pt idx="85">
                  <c:v>10.652034733842861</c:v>
                </c:pt>
                <c:pt idx="86">
                  <c:v>12.544997294912108</c:v>
                </c:pt>
                <c:pt idx="87">
                  <c:v>14.766271869320462</c:v>
                </c:pt>
                <c:pt idx="88">
                  <c:v>17.370653099527644</c:v>
                </c:pt>
                <c:pt idx="89">
                  <c:v>20.42146347503531</c:v>
                </c:pt>
                <c:pt idx="90">
                  <c:v>23.991669050587205</c:v>
                </c:pt>
                <c:pt idx="91">
                  <c:v>28.353858036032648</c:v>
                </c:pt>
                <c:pt idx="92">
                  <c:v>33.261550954193723</c:v>
                </c:pt>
                <c:pt idx="93">
                  <c:v>38.984164831398765</c:v>
                </c:pt>
                <c:pt idx="94">
                  <c:v>45.646759797900003</c:v>
                </c:pt>
                <c:pt idx="95">
                  <c:v>53.389642808346387</c:v>
                </c:pt>
                <c:pt idx="96">
                  <c:v>62.369486872732423</c:v>
                </c:pt>
                <c:pt idx="97">
                  <c:v>72.759062079221195</c:v>
                </c:pt>
                <c:pt idx="98">
                  <c:v>84.744653709958556</c:v>
                </c:pt>
                <c:pt idx="99">
                  <c:v>98.523529931743525</c:v>
                </c:pt>
                <c:pt idx="100">
                  <c:v>114.29471019543648</c:v>
                </c:pt>
              </c:numCache>
              <c:extLst xmlns:c15="http://schemas.microsoft.com/office/drawing/2012/chart"/>
            </c:numRef>
          </c:yVal>
          <c:smooth val="1"/>
          <c:extLst xmlns:c15="http://schemas.microsoft.com/office/drawing/2012/chart">
            <c:ext xmlns:c16="http://schemas.microsoft.com/office/drawing/2014/chart" uri="{C3380CC4-5D6E-409C-BE32-E72D297353CC}">
              <c16:uniqueId val="{00000000-EE10-4FC3-A672-F1C9FAA28018}"/>
            </c:ext>
          </c:extLst>
        </c:ser>
        <c:dLbls>
          <c:showLegendKey val="0"/>
          <c:showVal val="0"/>
          <c:showCatName val="0"/>
          <c:showSerName val="0"/>
          <c:showPercent val="0"/>
          <c:showBubbleSize val="0"/>
        </c:dLbls>
        <c:axId val="1241530367"/>
        <c:axId val="755015471"/>
        <c:extLst>
          <c:ext xmlns:c15="http://schemas.microsoft.com/office/drawing/2012/chart" uri="{02D57815-91ED-43cb-92C2-25804820EDAC}">
            <c15:filteredScatterSeries>
              <c15:ser>
                <c:idx val="1"/>
                <c:order val="1"/>
                <c:spPr>
                  <a:ln w="9525" cap="rnd">
                    <a:solidFill>
                      <a:schemeClr val="accent2"/>
                    </a:solidFill>
                    <a:round/>
                  </a:ln>
                  <a:effectLst/>
                </c:spPr>
                <c:marker>
                  <c:symbol val="circle"/>
                  <c:size val="5"/>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c:spPr>
                </c:marker>
                <c:xVal>
                  <c:numRef>
                    <c:extLst>
                      <c:ext uri="{02D57815-91ED-43cb-92C2-25804820EDAC}">
                        <c15:formulaRef>
                          <c15:sqref>Sheet1!$AB$8:$AB$108</c15:sqref>
                        </c15:formulaRef>
                      </c:ext>
                    </c:extLst>
                    <c:numCache>
                      <c:formatCode>0</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extLst>
                      <c:ext uri="{02D57815-91ED-43cb-92C2-25804820EDAC}">
                        <c15:formulaRef>
                          <c15:sqref>Sheet1!$AD$8:$AD$108</c15:sqref>
                        </c15:formulaRef>
                      </c:ext>
                    </c:extLst>
                    <c:numCache>
                      <c:formatCode>0.0000</c:formatCode>
                      <c:ptCount val="101"/>
                      <c:pt idx="1">
                        <c:v>0.18883555184851453</c:v>
                      </c:pt>
                      <c:pt idx="2">
                        <c:v>0.22392371129825728</c:v>
                      </c:pt>
                      <c:pt idx="3">
                        <c:v>0.26558792677331522</c:v>
                      </c:pt>
                      <c:pt idx="4">
                        <c:v>0.31497460749675188</c:v>
                      </c:pt>
                      <c:pt idx="5">
                        <c:v>0.37348316827452632</c:v>
                      </c:pt>
                      <c:pt idx="6">
                        <c:v>0.44277358567355041</c:v>
                      </c:pt>
                      <c:pt idx="7">
                        <c:v>0.52480744991183048</c:v>
                      </c:pt>
                      <c:pt idx="8">
                        <c:v>0.6218997702621607</c:v>
                      </c:pt>
                      <c:pt idx="9">
                        <c:v>0.73678141439362044</c:v>
                      </c:pt>
                      <c:pt idx="10">
                        <c:v>0.87267138816416789</c:v>
                      </c:pt>
                      <c:pt idx="11">
                        <c:v>1.0333625076393274</c:v>
                      </c:pt>
                      <c:pt idx="12">
                        <c:v>1.2233201486966188</c:v>
                      </c:pt>
                      <c:pt idx="13">
                        <c:v>1.4478042783761067</c:v>
                      </c:pt>
                      <c:pt idx="14">
                        <c:v>1.7129970709636293</c:v>
                      </c:pt>
                      <c:pt idx="15">
                        <c:v>2.0261694446786986</c:v>
                      </c:pt>
                      <c:pt idx="16">
                        <c:v>2.395863610684188</c:v>
                      </c:pt>
                      <c:pt idx="17">
                        <c:v>2.8321104730575204</c:v>
                      </c:pt>
                      <c:pt idx="18">
                        <c:v>3.3466728504686323</c:v>
                      </c:pt>
                      <c:pt idx="19">
                        <c:v>3.9533586235903115</c:v>
                      </c:pt>
                      <c:pt idx="20">
                        <c:v>4.6683030359524942</c:v>
                      </c:pt>
                      <c:pt idx="21">
                        <c:v>5.5104379472693488</c:v>
                      </c:pt>
                      <c:pt idx="22">
                        <c:v>6.5018571932862486</c:v>
                      </c:pt>
                      <c:pt idx="23">
                        <c:v>7.6683705306708276</c:v>
                      </c:pt>
                      <c:pt idx="24">
                        <c:v>9.0400784359586481</c:v>
                      </c:pt>
                      <c:pt idx="25">
                        <c:v>10.652034733842861</c:v>
                      </c:pt>
                      <c:pt idx="26">
                        <c:v>12.544997294912108</c:v>
                      </c:pt>
                      <c:pt idx="27">
                        <c:v>14.766271869320462</c:v>
                      </c:pt>
                      <c:pt idx="28">
                        <c:v>17.370653099527644</c:v>
                      </c:pt>
                      <c:pt idx="29">
                        <c:v>20.42146347503531</c:v>
                      </c:pt>
                      <c:pt idx="30">
                        <c:v>23.991669050587205</c:v>
                      </c:pt>
                      <c:pt idx="31">
                        <c:v>28.353858036032648</c:v>
                      </c:pt>
                      <c:pt idx="32">
                        <c:v>33.261550954193723</c:v>
                      </c:pt>
                      <c:pt idx="33">
                        <c:v>38.984164831398765</c:v>
                      </c:pt>
                      <c:pt idx="34">
                        <c:v>45.646759797900003</c:v>
                      </c:pt>
                      <c:pt idx="35">
                        <c:v>53.389642808346387</c:v>
                      </c:pt>
                      <c:pt idx="36">
                        <c:v>62.369486872732423</c:v>
                      </c:pt>
                      <c:pt idx="37">
                        <c:v>72.759062079221195</c:v>
                      </c:pt>
                      <c:pt idx="38">
                        <c:v>84.744653709958556</c:v>
                      </c:pt>
                      <c:pt idx="39">
                        <c:v>98.523529931743525</c:v>
                      </c:pt>
                      <c:pt idx="40">
                        <c:v>114.29471019543648</c:v>
                      </c:pt>
                      <c:pt idx="41">
                        <c:v>132.24830862842234</c:v>
                      </c:pt>
                      <c:pt idx="42">
                        <c:v>152.53738831859138</c:v>
                      </c:pt>
                      <c:pt idx="43">
                        <c:v>175.24057390627047</c:v>
                      </c:pt>
                      <c:pt idx="44">
                        <c:v>200.2847036675214</c:v>
                      </c:pt>
                      <c:pt idx="45">
                        <c:v>227.30259376728387</c:v>
                      </c:pt>
                      <c:pt idx="46">
                        <c:v>255.35664809516257</c:v>
                      </c:pt>
                      <c:pt idx="47">
                        <c:v>282.28971479616456</c:v>
                      </c:pt>
                      <c:pt idx="48">
                        <c:v>303.03232906778749</c:v>
                      </c:pt>
                      <c:pt idx="49">
                        <c:v>303.2083548878814</c:v>
                      </c:pt>
                      <c:pt idx="50">
                        <c:v>206.70413201754289</c:v>
                      </c:pt>
                      <c:pt idx="51">
                        <c:v>5.5104379472693488</c:v>
                      </c:pt>
                      <c:pt idx="52">
                        <c:v>6.5018571932862486</c:v>
                      </c:pt>
                      <c:pt idx="53">
                        <c:v>7.6683705306708276</c:v>
                      </c:pt>
                      <c:pt idx="54">
                        <c:v>9.0400784359586481</c:v>
                      </c:pt>
                      <c:pt idx="55">
                        <c:v>10.652034733842861</c:v>
                      </c:pt>
                      <c:pt idx="56">
                        <c:v>12.544997294912108</c:v>
                      </c:pt>
                      <c:pt idx="57">
                        <c:v>14.766271869320462</c:v>
                      </c:pt>
                      <c:pt idx="58">
                        <c:v>17.370653099527644</c:v>
                      </c:pt>
                      <c:pt idx="59">
                        <c:v>20.42146347503531</c:v>
                      </c:pt>
                      <c:pt idx="60">
                        <c:v>23.991669050587205</c:v>
                      </c:pt>
                      <c:pt idx="61">
                        <c:v>28.353858036032648</c:v>
                      </c:pt>
                      <c:pt idx="62">
                        <c:v>33.261550954193723</c:v>
                      </c:pt>
                      <c:pt idx="63">
                        <c:v>38.984164831398765</c:v>
                      </c:pt>
                      <c:pt idx="64">
                        <c:v>45.646759797900003</c:v>
                      </c:pt>
                      <c:pt idx="65">
                        <c:v>53.389642808346387</c:v>
                      </c:pt>
                      <c:pt idx="66">
                        <c:v>62.369486872732423</c:v>
                      </c:pt>
                      <c:pt idx="67">
                        <c:v>72.759062079221195</c:v>
                      </c:pt>
                      <c:pt idx="68">
                        <c:v>84.744653709958556</c:v>
                      </c:pt>
                      <c:pt idx="69">
                        <c:v>98.523529931743525</c:v>
                      </c:pt>
                      <c:pt idx="70">
                        <c:v>114.29471019543648</c:v>
                      </c:pt>
                      <c:pt idx="71">
                        <c:v>132.24830862842234</c:v>
                      </c:pt>
                      <c:pt idx="72">
                        <c:v>152.53738831859138</c:v>
                      </c:pt>
                      <c:pt idx="73">
                        <c:v>175.24057390627047</c:v>
                      </c:pt>
                      <c:pt idx="74">
                        <c:v>200.2847036675214</c:v>
                      </c:pt>
                      <c:pt idx="75">
                        <c:v>227.30259376728387</c:v>
                      </c:pt>
                      <c:pt idx="76">
                        <c:v>255.35664809516257</c:v>
                      </c:pt>
                      <c:pt idx="77">
                        <c:v>282.28971479616456</c:v>
                      </c:pt>
                      <c:pt idx="78">
                        <c:v>303.03232906778749</c:v>
                      </c:pt>
                      <c:pt idx="79">
                        <c:v>303.2083548878814</c:v>
                      </c:pt>
                      <c:pt idx="80">
                        <c:v>206.70413201754289</c:v>
                      </c:pt>
                      <c:pt idx="81">
                        <c:v>5.5104379472693488</c:v>
                      </c:pt>
                      <c:pt idx="82">
                        <c:v>6.5018571932862486</c:v>
                      </c:pt>
                      <c:pt idx="83">
                        <c:v>7.6683705306708276</c:v>
                      </c:pt>
                      <c:pt idx="84">
                        <c:v>9.0400784359586481</c:v>
                      </c:pt>
                      <c:pt idx="85">
                        <c:v>10.652034733842861</c:v>
                      </c:pt>
                      <c:pt idx="86">
                        <c:v>12.544997294912108</c:v>
                      </c:pt>
                      <c:pt idx="87">
                        <c:v>14.766271869320462</c:v>
                      </c:pt>
                      <c:pt idx="88">
                        <c:v>17.370653099527644</c:v>
                      </c:pt>
                      <c:pt idx="89">
                        <c:v>20.42146347503531</c:v>
                      </c:pt>
                      <c:pt idx="90">
                        <c:v>23.991669050587205</c:v>
                      </c:pt>
                      <c:pt idx="91">
                        <c:v>28.353858036032648</c:v>
                      </c:pt>
                      <c:pt idx="92">
                        <c:v>33.261550954193723</c:v>
                      </c:pt>
                      <c:pt idx="93">
                        <c:v>38.984164831398765</c:v>
                      </c:pt>
                      <c:pt idx="94">
                        <c:v>45.646759797900003</c:v>
                      </c:pt>
                      <c:pt idx="95">
                        <c:v>53.389642808346387</c:v>
                      </c:pt>
                      <c:pt idx="96">
                        <c:v>62.369486872732423</c:v>
                      </c:pt>
                      <c:pt idx="97">
                        <c:v>72.759062079221195</c:v>
                      </c:pt>
                      <c:pt idx="98">
                        <c:v>84.744653709958556</c:v>
                      </c:pt>
                      <c:pt idx="99">
                        <c:v>98.523529931743525</c:v>
                      </c:pt>
                      <c:pt idx="100">
                        <c:v>114.29471019543648</c:v>
                      </c:pt>
                    </c:numCache>
                  </c:numRef>
                </c:yVal>
                <c:smooth val="1"/>
                <c:extLst>
                  <c:ext xmlns:c16="http://schemas.microsoft.com/office/drawing/2014/chart" uri="{C3380CC4-5D6E-409C-BE32-E72D297353CC}">
                    <c16:uniqueId val="{00000004-EE10-4FC3-A672-F1C9FAA28018}"/>
                  </c:ext>
                </c:extLst>
              </c15:ser>
            </c15:filteredScatterSeries>
          </c:ext>
        </c:extLst>
      </c:scatterChart>
      <c:valAx>
        <c:axId val="1241530367"/>
        <c:scaling>
          <c:orientation val="minMax"/>
          <c:max val="100"/>
        </c:scaling>
        <c:delete val="0"/>
        <c:axPos val="b"/>
        <c:majorGridlines>
          <c:spPr>
            <a:ln w="9525" cap="flat" cmpd="sng" algn="ctr">
              <a:solidFill>
                <a:schemeClr val="bg1">
                  <a:lumMod val="95000"/>
                </a:schemeClr>
              </a:solidFill>
              <a:round/>
            </a:ln>
            <a:effectLst/>
          </c:spPr>
        </c:majorGridlines>
        <c:title>
          <c:tx>
            <c:rich>
              <a:bodyPr rot="0" spcFirstLastPara="1" vertOverflow="ellipsis" vert="horz" wrap="square" anchor="ctr" anchorCtr="1"/>
              <a:lstStyle/>
              <a:p>
                <a:pPr>
                  <a:defRPr sz="1000" b="1" i="0" u="none" strike="noStrike" kern="1200" baseline="0">
                    <a:solidFill>
                      <a:schemeClr val="tx1"/>
                    </a:solidFill>
                    <a:latin typeface="+mn-lt"/>
                    <a:ea typeface="+mn-ea"/>
                    <a:cs typeface="+mn-cs"/>
                  </a:defRPr>
                </a:pPr>
                <a:r>
                  <a:rPr lang="en-GB" sz="1000">
                    <a:solidFill>
                      <a:schemeClr val="tx1"/>
                    </a:solidFill>
                  </a:rPr>
                  <a:t>t (yr)</a:t>
                </a:r>
              </a:p>
            </c:rich>
          </c:tx>
          <c:overlay val="0"/>
          <c:spPr>
            <a:solidFill>
              <a:schemeClr val="bg1"/>
            </a:solidFill>
            <a:ln>
              <a:noFill/>
            </a:ln>
            <a:effectLst/>
          </c:spPr>
          <c:txPr>
            <a:bodyPr rot="0" spcFirstLastPara="1" vertOverflow="ellipsis" vert="horz" wrap="square" anchor="ctr" anchorCtr="1"/>
            <a:lstStyle/>
            <a:p>
              <a:pPr>
                <a:defRPr sz="1000" b="1" i="0" u="none" strike="noStrike" kern="1200" baseline="0">
                  <a:solidFill>
                    <a:schemeClr val="tx1"/>
                  </a:solidFill>
                  <a:latin typeface="+mn-lt"/>
                  <a:ea typeface="+mn-ea"/>
                  <a:cs typeface="+mn-cs"/>
                </a:defRPr>
              </a:pPr>
              <a:endParaRPr lang="en-US"/>
            </a:p>
          </c:txPr>
        </c:title>
        <c:numFmt formatCode="0" sourceLinked="1"/>
        <c:majorTickMark val="in"/>
        <c:minorTickMark val="in"/>
        <c:tickLblPos val="nextTo"/>
        <c:spPr>
          <a:noFill/>
          <a:ln>
            <a:solidFill>
              <a:schemeClr val="bg1">
                <a:lumMod val="50000"/>
              </a:schemeClr>
            </a:solid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755015471"/>
        <c:crosses val="autoZero"/>
        <c:crossBetween val="midCat"/>
      </c:valAx>
      <c:valAx>
        <c:axId val="755015471"/>
        <c:scaling>
          <c:orientation val="minMax"/>
          <c:min val="0"/>
        </c:scaling>
        <c:delete val="0"/>
        <c:axPos val="l"/>
        <c:majorGridlines>
          <c:spPr>
            <a:ln w="9525" cap="flat" cmpd="sng" algn="ctr">
              <a:solidFill>
                <a:schemeClr val="bg1">
                  <a:lumMod val="9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solidFill>
                    <a:latin typeface="+mn-lt"/>
                    <a:ea typeface="+mn-ea"/>
                    <a:cs typeface="+mn-cs"/>
                  </a:defRPr>
                </a:pPr>
                <a:r>
                  <a:rPr lang="en-GB" sz="1000">
                    <a:solidFill>
                      <a:schemeClr val="tx1"/>
                    </a:solidFill>
                  </a:rPr>
                  <a:t>PBR (dN</a:t>
                </a:r>
                <a:r>
                  <a:rPr lang="en-GB" sz="1000" baseline="0">
                    <a:solidFill>
                      <a:schemeClr val="tx1"/>
                    </a:solidFill>
                  </a:rPr>
                  <a:t>/dt)</a:t>
                </a:r>
                <a:endParaRPr lang="en-GB" sz="1000">
                  <a:solidFill>
                    <a:schemeClr val="tx1"/>
                  </a:solidFill>
                </a:endParaRPr>
              </a:p>
            </c:rich>
          </c:tx>
          <c:layout>
            <c:manualLayout>
              <c:xMode val="edge"/>
              <c:yMode val="edge"/>
              <c:x val="2.0711974110032363E-2"/>
              <c:y val="0.36154216299885589"/>
            </c:manualLayout>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solidFill>
                  <a:latin typeface="+mn-lt"/>
                  <a:ea typeface="+mn-ea"/>
                  <a:cs typeface="+mn-cs"/>
                </a:defRPr>
              </a:pPr>
              <a:endParaRPr lang="en-US"/>
            </a:p>
          </c:txPr>
        </c:title>
        <c:numFmt formatCode="0" sourceLinked="0"/>
        <c:majorTickMark val="in"/>
        <c:minorTickMark val="in"/>
        <c:tickLblPos val="nextTo"/>
        <c:spPr>
          <a:noFill/>
          <a:ln>
            <a:solidFill>
              <a:schemeClr val="bg1">
                <a:lumMod val="50000"/>
              </a:schemeClr>
            </a:solidFill>
          </a:ln>
          <a:effectLst/>
        </c:spPr>
        <c:txPr>
          <a:bodyPr rot="0" spcFirstLastPara="1" vertOverflow="ellipsis" wrap="square" anchor="ctr" anchorCtr="1"/>
          <a:lstStyle/>
          <a:p>
            <a:pPr>
              <a:defRPr sz="900" b="0" i="0" u="none" strike="noStrike" kern="1200" baseline="0">
                <a:solidFill>
                  <a:sysClr val="windowText" lastClr="000000"/>
                </a:solidFill>
                <a:latin typeface="+mn-lt"/>
                <a:ea typeface="+mn-ea"/>
                <a:cs typeface="+mn-cs"/>
              </a:defRPr>
            </a:pPr>
            <a:endParaRPr lang="en-US"/>
          </a:p>
        </c:txPr>
        <c:crossAx val="1241530367"/>
        <c:crosses val="autoZero"/>
        <c:crossBetween val="midCat"/>
      </c:valAx>
      <c:spPr>
        <a:noFill/>
        <a:ln>
          <a:noFill/>
        </a:ln>
        <a:effectLst/>
      </c:spPr>
    </c:plotArea>
    <c:legend>
      <c:legendPos val="r"/>
      <c:layout>
        <c:manualLayout>
          <c:xMode val="edge"/>
          <c:yMode val="edge"/>
          <c:x val="0.16535453456667432"/>
          <c:y val="0.20011710074702202"/>
          <c:w val="0.19804602094641083"/>
          <c:h val="7.2115889359983865E-2"/>
        </c:manualLayout>
      </c:layout>
      <c:overlay val="1"/>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1">
          <a:lumMod val="50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Operational plants over time (interpolated</a:t>
            </a:r>
            <a:r>
              <a:rPr lang="en-GB" baseline="0"/>
              <a:t> data)</a:t>
            </a:r>
          </a:p>
        </c:rich>
      </c:tx>
      <c:layout>
        <c:manualLayout>
          <c:xMode val="edge"/>
          <c:yMode val="edge"/>
          <c:x val="0.18932842820580575"/>
          <c:y val="2.2092455206105019E-2"/>
        </c:manualLayout>
      </c:layout>
      <c:overlay val="0"/>
      <c:spPr>
        <a:noFill/>
        <a:ln>
          <a:noFill/>
        </a:ln>
        <a:effectLst/>
      </c:spPr>
    </c:title>
    <c:autoTitleDeleted val="0"/>
    <c:plotArea>
      <c:layout/>
      <c:scatterChart>
        <c:scatterStyle val="lineMarker"/>
        <c:varyColors val="0"/>
        <c:dLbls>
          <c:showLegendKey val="0"/>
          <c:showVal val="1"/>
          <c:showCatName val="0"/>
          <c:showSerName val="0"/>
          <c:showPercent val="0"/>
          <c:showBubbleSize val="0"/>
        </c:dLbls>
        <c:axId val="1292577295"/>
        <c:axId val="1296221023"/>
        <c:extLst>
          <c:ext xmlns:c15="http://schemas.microsoft.com/office/drawing/2012/chart" uri="{02D57815-91ED-43cb-92C2-25804820EDAC}">
            <c15:filteredScatterSeries>
              <c15:ser>
                <c:idx val="4"/>
                <c:order val="0"/>
                <c:tx>
                  <c:v>Point A and B</c:v>
                </c:tx>
                <c:spPr>
                  <a:ln>
                    <a:solidFill>
                      <a:schemeClr val="tx1"/>
                    </a:solidFill>
                  </a:ln>
                </c:spPr>
                <c:marker>
                  <c:symbol val="diamond"/>
                  <c:size val="13"/>
                  <c:spPr>
                    <a:solidFill>
                      <a:schemeClr val="accent2"/>
                    </a:solidFill>
                    <a:ln w="15875">
                      <a:solidFill>
                        <a:schemeClr val="tx1"/>
                      </a:solidFill>
                    </a:ln>
                    <a:effectLst/>
                  </c:spPr>
                </c:marker>
                <c:dLbls>
                  <c:dLbl>
                    <c:idx val="0"/>
                    <c:layout>
                      <c:manualLayout>
                        <c:x val="-7.6054678523012162E-2"/>
                        <c:y val="6.9364161849710976E-2"/>
                      </c:manualLayout>
                    </c:layout>
                    <c:tx>
                      <c:rich>
                        <a:bodyPr/>
                        <a:lstStyle/>
                        <a:p>
                          <a:r>
                            <a:rPr lang="en-US">
                              <a:solidFill>
                                <a:schemeClr val="dk1"/>
                              </a:solidFill>
                              <a:latin typeface="+mn-lt"/>
                              <a:ea typeface="+mn-ea"/>
                              <a:cs typeface="+mn-cs"/>
                            </a:rPr>
                            <a:t>A</a:t>
                          </a:r>
                          <a:endParaRPr lang="en-US"/>
                        </a:p>
                      </c:rich>
                    </c:tx>
                    <c:showLegendKey val="0"/>
                    <c:showVal val="1"/>
                    <c:showCatName val="0"/>
                    <c:showSerName val="0"/>
                    <c:showPercent val="0"/>
                    <c:showBubbleSize val="0"/>
                    <c:extLst>
                      <c:ext uri="{CE6537A1-D6FC-4f65-9D91-7224C49458BB}">
                        <c15:showDataLabelsRange val="0"/>
                      </c:ext>
                      <c:ext xmlns:c16="http://schemas.microsoft.com/office/drawing/2014/chart" uri="{C3380CC4-5D6E-409C-BE32-E72D297353CC}">
                        <c16:uniqueId val="{00000004-841A-4637-9DB4-DCC0E258F315}"/>
                      </c:ext>
                    </c:extLst>
                  </c:dLbl>
                  <c:dLbl>
                    <c:idx val="1"/>
                    <c:layout>
                      <c:manualLayout>
                        <c:x val="9.5068348153765185E-3"/>
                        <c:y val="-7.7071290944123308E-2"/>
                      </c:manualLayout>
                    </c:layout>
                    <c:tx>
                      <c:rich>
                        <a:bodyPr/>
                        <a:lstStyle/>
                        <a:p>
                          <a:r>
                            <a:rPr lang="en-US"/>
                            <a:t>B</a:t>
                          </a:r>
                        </a:p>
                      </c:rich>
                    </c:tx>
                    <c:showLegendKey val="0"/>
                    <c:showVal val="1"/>
                    <c:showCatName val="0"/>
                    <c:showSerName val="0"/>
                    <c:showPercent val="0"/>
                    <c:showBubbleSize val="0"/>
                    <c:extLst>
                      <c:ext uri="{CE6537A1-D6FC-4f65-9D91-7224C49458BB}">
                        <c15:showDataLabelsRange val="0"/>
                      </c:ext>
                      <c:ext xmlns:c16="http://schemas.microsoft.com/office/drawing/2014/chart" uri="{C3380CC4-5D6E-409C-BE32-E72D297353CC}">
                        <c16:uniqueId val="{00000003-841A-4637-9DB4-DCC0E258F315}"/>
                      </c:ext>
                    </c:extLst>
                  </c:dLbl>
                  <c:spPr>
                    <a:solidFill>
                      <a:schemeClr val="lt1"/>
                    </a:solidFill>
                    <a:ln w="12700" cap="flat" cmpd="sng" algn="ctr">
                      <a:solidFill>
                        <a:schemeClr val="dk1"/>
                      </a:solidFill>
                      <a:prstDash val="solid"/>
                      <a:miter lim="800000"/>
                    </a:ln>
                    <a:effectLst/>
                  </c:spPr>
                  <c:txPr>
                    <a:bodyPr wrap="square" lIns="38100" tIns="19050" rIns="38100" bIns="19050" anchor="ctr">
                      <a:spAutoFit/>
                    </a:bodyPr>
                    <a:lstStyle/>
                    <a:p>
                      <a:pPr>
                        <a:defRPr>
                          <a:solidFill>
                            <a:schemeClr val="dk1"/>
                          </a:solidFill>
                          <a:latin typeface="+mn-lt"/>
                          <a:ea typeface="+mn-ea"/>
                          <a:cs typeface="+mn-cs"/>
                        </a:defRPr>
                      </a:pPr>
                      <a:endParaRPr lang="en-US"/>
                    </a:p>
                  </c:txPr>
                  <c:showLegendKey val="0"/>
                  <c:showVal val="1"/>
                  <c:showCatName val="0"/>
                  <c:showSerName val="0"/>
                  <c:showPercent val="0"/>
                  <c:showBubbleSize val="0"/>
                  <c:showLeaderLines val="0"/>
                  <c:extLst>
                    <c:ext uri="{CE6537A1-D6FC-4f65-9D91-7224C49458BB}">
                      <c15:showLeaderLines val="1"/>
                    </c:ext>
                  </c:extLst>
                </c:dLbls>
                <c:xVal>
                  <c:numRef>
                    <c:extLst>
                      <c:ext uri="{02D57815-91ED-43cb-92C2-25804820EDAC}">
                        <c15:formulaRef>
                          <c15:sqref>Sheet1!$D$13:$D$14</c15:sqref>
                        </c15:formulaRef>
                      </c:ext>
                    </c:extLst>
                    <c:numCache>
                      <c:formatCode>General</c:formatCode>
                      <c:ptCount val="2"/>
                      <c:pt idx="0">
                        <c:v>0</c:v>
                      </c:pt>
                      <c:pt idx="1">
                        <c:v>0.99718012695849811</c:v>
                      </c:pt>
                    </c:numCache>
                  </c:numRef>
                </c:xVal>
                <c:yVal>
                  <c:numRef>
                    <c:extLst>
                      <c:ext uri="{02D57815-91ED-43cb-92C2-25804820EDAC}">
                        <c15:formulaRef>
                          <c15:sqref>Sheet1!$E$13:$E$14</c15:sqref>
                        </c15:formulaRef>
                      </c:ext>
                    </c:extLst>
                    <c:numCache>
                      <c:formatCode>General</c:formatCode>
                      <c:ptCount val="2"/>
                      <c:pt idx="0">
                        <c:v>0</c:v>
                      </c:pt>
                      <c:pt idx="1">
                        <c:v>1.1886261547502852</c:v>
                      </c:pt>
                    </c:numCache>
                  </c:numRef>
                </c:yVal>
                <c:smooth val="0"/>
                <c:extLst>
                  <c:ext xmlns:c16="http://schemas.microsoft.com/office/drawing/2014/chart" uri="{C3380CC4-5D6E-409C-BE32-E72D297353CC}">
                    <c16:uniqueId val="{00000002-84F1-46C8-AF31-43A1F270F1CB}"/>
                  </c:ext>
                </c:extLst>
              </c15:ser>
            </c15:filteredScatterSeries>
            <c15:filteredScatterSeries>
              <c15:ser>
                <c:idx val="5"/>
                <c:order val="1"/>
                <c:tx>
                  <c:v>Point C and D</c:v>
                </c:tx>
                <c:spPr>
                  <a:ln>
                    <a:solidFill>
                      <a:schemeClr val="tx1"/>
                    </a:solidFill>
                  </a:ln>
                </c:spPr>
                <c:marker>
                  <c:symbol val="diamond"/>
                  <c:size val="13"/>
                  <c:spPr>
                    <a:solidFill>
                      <a:schemeClr val="accent4">
                        <a:lumMod val="60000"/>
                        <a:lumOff val="40000"/>
                      </a:schemeClr>
                    </a:solidFill>
                    <a:ln w="15875">
                      <a:solidFill>
                        <a:schemeClr val="tx1"/>
                      </a:solidFill>
                    </a:ln>
                    <a:effectLst/>
                  </c:spPr>
                </c:marker>
                <c:dLbls>
                  <c:dLbl>
                    <c:idx val="0"/>
                    <c:layout>
                      <c:manualLayout>
                        <c:x val="-7.1301261115323897E-3"/>
                        <c:y val="-4.6242774566474007E-2"/>
                      </c:manualLayout>
                    </c:layout>
                    <c:tx>
                      <c:rich>
                        <a:bodyPr wrap="square" lIns="38100" tIns="19050" rIns="38100" bIns="19050" anchor="ctr">
                          <a:spAutoFit/>
                        </a:bodyPr>
                        <a:lstStyle/>
                        <a:p>
                          <a:pPr>
                            <a:defRPr>
                              <a:solidFill>
                                <a:schemeClr val="dk1"/>
                              </a:solidFill>
                              <a:latin typeface="+mn-lt"/>
                              <a:ea typeface="+mn-ea"/>
                              <a:cs typeface="+mn-cs"/>
                            </a:defRPr>
                          </a:pPr>
                          <a:r>
                            <a:rPr lang="en-US">
                              <a:solidFill>
                                <a:schemeClr val="dk1"/>
                              </a:solidFill>
                              <a:latin typeface="+mn-lt"/>
                              <a:ea typeface="+mn-ea"/>
                              <a:cs typeface="+mn-cs"/>
                            </a:rPr>
                            <a:t>C</a:t>
                          </a:r>
                          <a:endParaRPr lang="en-US"/>
                        </a:p>
                      </c:rich>
                    </c:tx>
                    <c:spPr>
                      <a:solidFill>
                        <a:schemeClr val="lt1"/>
                      </a:solidFill>
                      <a:ln w="12700" cap="flat" cmpd="sng" algn="ctr">
                        <a:solidFill>
                          <a:schemeClr val="dk1"/>
                        </a:solidFill>
                        <a:prstDash val="solid"/>
                        <a:miter lim="800000"/>
                      </a:ln>
                      <a:effectLst/>
                    </c:spPr>
                    <c:showLegendKey val="0"/>
                    <c:showVal val="1"/>
                    <c:showCatName val="0"/>
                    <c:showSerName val="0"/>
                    <c:showPercent val="0"/>
                    <c:showBubbleSize val="0"/>
                    <c:extLst xmlns:c15="http://schemas.microsoft.com/office/drawing/2012/chart">
                      <c:ext xmlns:c15="http://schemas.microsoft.com/office/drawing/2012/chart" uri="{CE6537A1-D6FC-4f65-9D91-7224C49458BB}">
                        <c15:showDataLabelsRange val="0"/>
                      </c:ext>
                      <c:ext xmlns:c16="http://schemas.microsoft.com/office/drawing/2014/chart" uri="{C3380CC4-5D6E-409C-BE32-E72D297353CC}">
                        <c16:uniqueId val="{00000001-841A-4637-9DB4-DCC0E258F315}"/>
                      </c:ext>
                    </c:extLst>
                  </c:dLbl>
                  <c:dLbl>
                    <c:idx val="1"/>
                    <c:layout>
                      <c:manualLayout>
                        <c:x val="-4.7534174076882593E-3"/>
                        <c:y val="-5.3949903660886304E-2"/>
                      </c:manualLayout>
                    </c:layout>
                    <c:tx>
                      <c:rich>
                        <a:bodyPr wrap="square" lIns="38100" tIns="19050" rIns="38100" bIns="19050" anchor="ctr">
                          <a:spAutoFit/>
                        </a:bodyPr>
                        <a:lstStyle/>
                        <a:p>
                          <a:pPr>
                            <a:defRPr>
                              <a:solidFill>
                                <a:schemeClr val="dk1"/>
                              </a:solidFill>
                              <a:latin typeface="+mn-lt"/>
                              <a:ea typeface="+mn-ea"/>
                              <a:cs typeface="+mn-cs"/>
                            </a:defRPr>
                          </a:pPr>
                          <a:r>
                            <a:rPr lang="en-US">
                              <a:solidFill>
                                <a:schemeClr val="dk1"/>
                              </a:solidFill>
                              <a:latin typeface="+mn-lt"/>
                              <a:ea typeface="+mn-ea"/>
                              <a:cs typeface="+mn-cs"/>
                            </a:rPr>
                            <a:t>D</a:t>
                          </a:r>
                          <a:endParaRPr lang="en-US"/>
                        </a:p>
                      </c:rich>
                    </c:tx>
                    <c:spPr>
                      <a:solidFill>
                        <a:schemeClr val="lt1"/>
                      </a:solidFill>
                      <a:ln w="12700" cap="flat" cmpd="sng" algn="ctr">
                        <a:solidFill>
                          <a:schemeClr val="dk1"/>
                        </a:solidFill>
                        <a:prstDash val="solid"/>
                        <a:miter lim="800000"/>
                      </a:ln>
                      <a:effectLst/>
                    </c:spPr>
                    <c:showLegendKey val="0"/>
                    <c:showVal val="1"/>
                    <c:showCatName val="0"/>
                    <c:showSerName val="0"/>
                    <c:showPercent val="0"/>
                    <c:showBubbleSize val="0"/>
                    <c:extLst xmlns:c15="http://schemas.microsoft.com/office/drawing/2012/chart">
                      <c:ext xmlns:c15="http://schemas.microsoft.com/office/drawing/2012/chart" uri="{CE6537A1-D6FC-4f65-9D91-7224C49458BB}">
                        <c15:showDataLabelsRange val="0"/>
                      </c:ext>
                      <c:ext xmlns:c16="http://schemas.microsoft.com/office/drawing/2014/chart" uri="{C3380CC4-5D6E-409C-BE32-E72D297353CC}">
                        <c16:uniqueId val="{00000002-841A-4637-9DB4-DCC0E258F315}"/>
                      </c:ext>
                    </c:extLst>
                  </c:dLbl>
                  <c:spPr>
                    <a:noFill/>
                    <a:ln>
                      <a:noFill/>
                    </a:ln>
                    <a:effectLst/>
                  </c:spP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Sheet1!$D$15:$D$16</c15:sqref>
                        </c15:formulaRef>
                      </c:ext>
                    </c:extLst>
                    <c:numCache>
                      <c:formatCode>General</c:formatCode>
                      <c:ptCount val="2"/>
                      <c:pt idx="0">
                        <c:v>46.203000000000003</c:v>
                      </c:pt>
                      <c:pt idx="1">
                        <c:v>50</c:v>
                      </c:pt>
                    </c:numCache>
                  </c:numRef>
                </c:xVal>
                <c:yVal>
                  <c:numRef>
                    <c:extLst xmlns:c15="http://schemas.microsoft.com/office/drawing/2012/chart">
                      <c:ext xmlns:c15="http://schemas.microsoft.com/office/drawing/2012/chart" uri="{02D57815-91ED-43cb-92C2-25804820EDAC}">
                        <c15:formulaRef>
                          <c15:sqref>Sheet1!$E$15:$E$16</c15:sqref>
                        </c15:formulaRef>
                      </c:ext>
                    </c:extLst>
                    <c:numCache>
                      <c:formatCode>General</c:formatCode>
                      <c:ptCount val="2"/>
                      <c:pt idx="0">
                        <c:v>3000.0000000000027</c:v>
                      </c:pt>
                      <c:pt idx="1">
                        <c:v>3000.0000000000027</c:v>
                      </c:pt>
                    </c:numCache>
                  </c:numRef>
                </c:yVal>
                <c:smooth val="0"/>
                <c:extLst xmlns:c15="http://schemas.microsoft.com/office/drawing/2012/chart">
                  <c:ext xmlns:c16="http://schemas.microsoft.com/office/drawing/2014/chart" uri="{C3380CC4-5D6E-409C-BE32-E72D297353CC}">
                    <c16:uniqueId val="{00000005-84F1-46C8-AF31-43A1F270F1CB}"/>
                  </c:ext>
                </c:extLst>
              </c15:ser>
            </c15:filteredScatterSeries>
          </c:ext>
        </c:extLst>
      </c:scatterChart>
      <c:scatterChart>
        <c:scatterStyle val="smoothMarker"/>
        <c:varyColors val="0"/>
        <c:ser>
          <c:idx val="0"/>
          <c:order val="2"/>
          <c:tx>
            <c:v>N(t)</c:v>
          </c:tx>
          <c:marker>
            <c:symbol val="diamond"/>
            <c:size val="4"/>
          </c:marker>
          <c:dLbls>
            <c:delete val="1"/>
          </c:dLbls>
          <c:xVal>
            <c:numRef>
              <c:f>Sheet1!$X$8:$X$108</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extLst xmlns:c15="http://schemas.microsoft.com/office/drawing/2012/chart"/>
            </c:numRef>
          </c:xVal>
          <c:yVal>
            <c:numRef>
              <c:f>Sheet1!$AC$8:$AC$108</c:f>
              <c:numCache>
                <c:formatCode>0.0000</c:formatCode>
                <c:ptCount val="101"/>
                <c:pt idx="0">
                  <c:v>1</c:v>
                </c:pt>
                <c:pt idx="1">
                  <c:v>1.1888355518485145</c:v>
                </c:pt>
                <c:pt idx="2">
                  <c:v>1.4127592631467718</c:v>
                </c:pt>
                <c:pt idx="3">
                  <c:v>1.678347189920087</c:v>
                </c:pt>
                <c:pt idx="4">
                  <c:v>1.9933217974168389</c:v>
                </c:pt>
                <c:pt idx="5">
                  <c:v>2.3668049656913652</c:v>
                </c:pt>
                <c:pt idx="6">
                  <c:v>2.8095785513649156</c:v>
                </c:pt>
                <c:pt idx="7">
                  <c:v>3.3343860012767461</c:v>
                </c:pt>
                <c:pt idx="8">
                  <c:v>3.9562857715389068</c:v>
                </c:pt>
                <c:pt idx="9">
                  <c:v>4.6930671859325273</c:v>
                </c:pt>
                <c:pt idx="10">
                  <c:v>5.5657385740966951</c:v>
                </c:pt>
                <c:pt idx="11">
                  <c:v>6.5991010817360225</c:v>
                </c:pt>
                <c:pt idx="12">
                  <c:v>7.8224212304326413</c:v>
                </c:pt>
                <c:pt idx="13">
                  <c:v>9.270225508808748</c:v>
                </c:pt>
                <c:pt idx="14">
                  <c:v>10.983222579772377</c:v>
                </c:pt>
                <c:pt idx="15">
                  <c:v>13.009392024451076</c:v>
                </c:pt>
                <c:pt idx="16">
                  <c:v>15.405255635135264</c:v>
                </c:pt>
                <c:pt idx="17">
                  <c:v>18.237366108192784</c:v>
                </c:pt>
                <c:pt idx="18">
                  <c:v>21.584038958661417</c:v>
                </c:pt>
                <c:pt idx="19">
                  <c:v>25.537397582251728</c:v>
                </c:pt>
                <c:pt idx="20">
                  <c:v>30.205700618204222</c:v>
                </c:pt>
                <c:pt idx="21">
                  <c:v>35.716138565473571</c:v>
                </c:pt>
                <c:pt idx="22">
                  <c:v>42.21799575875982</c:v>
                </c:pt>
                <c:pt idx="23">
                  <c:v>49.886366289430647</c:v>
                </c:pt>
                <c:pt idx="24">
                  <c:v>58.926444725389295</c:v>
                </c:pt>
                <c:pt idx="25">
                  <c:v>69.578479459232156</c:v>
                </c:pt>
                <c:pt idx="26">
                  <c:v>82.123476754144264</c:v>
                </c:pt>
                <c:pt idx="27">
                  <c:v>96.889748623464726</c:v>
                </c:pt>
                <c:pt idx="28">
                  <c:v>114.26040172299237</c:v>
                </c:pt>
                <c:pt idx="29">
                  <c:v>134.68186519802768</c:v>
                </c:pt>
                <c:pt idx="30">
                  <c:v>158.67353424861489</c:v>
                </c:pt>
                <c:pt idx="31">
                  <c:v>186.83855673279902</c:v>
                </c:pt>
                <c:pt idx="32">
                  <c:v>219.87618397569449</c:v>
                </c:pt>
                <c:pt idx="33">
                  <c:v>258.59476088031994</c:v>
                </c:pt>
                <c:pt idx="34">
                  <c:v>303.92654607072319</c:v>
                </c:pt>
                <c:pt idx="35">
                  <c:v>356.94270571079505</c:v>
                </c:pt>
                <c:pt idx="36">
                  <c:v>418.86941899785393</c:v>
                </c:pt>
                <c:pt idx="37">
                  <c:v>491.10367362716329</c:v>
                </c:pt>
                <c:pt idx="38">
                  <c:v>575.22642756685968</c:v>
                </c:pt>
                <c:pt idx="39">
                  <c:v>673.01317608420959</c:v>
                </c:pt>
                <c:pt idx="40">
                  <c:v>786.43521489148191</c:v>
                </c:pt>
                <c:pt idx="41">
                  <c:v>917.6501610122649</c:v>
                </c:pt>
                <c:pt idx="42">
                  <c:v>1068.9642291821597</c:v>
                </c:pt>
                <c:pt idx="43">
                  <c:v>1242.756998810054</c:v>
                </c:pt>
                <c:pt idx="44">
                  <c:v>1441.3287054066118</c:v>
                </c:pt>
                <c:pt idx="45">
                  <c:v>1666.605129729217</c:v>
                </c:pt>
                <c:pt idx="46">
                  <c:v>1919.5659142136954</c:v>
                </c:pt>
                <c:pt idx="47">
                  <c:v>2199.0235185368024</c:v>
                </c:pt>
                <c:pt idx="48">
                  <c:v>2498.7091747541212</c:v>
                </c:pt>
                <c:pt idx="49">
                  <c:v>2797.9641710184123</c:v>
                </c:pt>
                <c:pt idx="50">
                  <c:v>3000.0000000000027</c:v>
                </c:pt>
                <c:pt idx="51">
                  <c:v>3000.0000000000027</c:v>
                </c:pt>
                <c:pt idx="52">
                  <c:v>3000.0000000000027</c:v>
                </c:pt>
                <c:pt idx="53">
                  <c:v>3000.0000000000027</c:v>
                </c:pt>
                <c:pt idx="54">
                  <c:v>3000.0000000000027</c:v>
                </c:pt>
                <c:pt idx="55">
                  <c:v>3000.0000000000027</c:v>
                </c:pt>
                <c:pt idx="56">
                  <c:v>3000.0000000000027</c:v>
                </c:pt>
                <c:pt idx="57">
                  <c:v>3000.0000000000027</c:v>
                </c:pt>
                <c:pt idx="58">
                  <c:v>3000.0000000000027</c:v>
                </c:pt>
                <c:pt idx="59">
                  <c:v>3000.0000000000027</c:v>
                </c:pt>
                <c:pt idx="60">
                  <c:v>3000.0000000000027</c:v>
                </c:pt>
                <c:pt idx="61">
                  <c:v>3000.0000000000027</c:v>
                </c:pt>
                <c:pt idx="62">
                  <c:v>3000.0000000000027</c:v>
                </c:pt>
                <c:pt idx="63">
                  <c:v>3000.0000000000027</c:v>
                </c:pt>
                <c:pt idx="64">
                  <c:v>3000.0000000000027</c:v>
                </c:pt>
                <c:pt idx="65">
                  <c:v>3000.0000000000027</c:v>
                </c:pt>
                <c:pt idx="66">
                  <c:v>3000.0000000000027</c:v>
                </c:pt>
                <c:pt idx="67">
                  <c:v>3000.0000000000027</c:v>
                </c:pt>
                <c:pt idx="68">
                  <c:v>3000.0000000000027</c:v>
                </c:pt>
                <c:pt idx="69">
                  <c:v>3000.0000000000027</c:v>
                </c:pt>
                <c:pt idx="70">
                  <c:v>3000.0000000000027</c:v>
                </c:pt>
                <c:pt idx="71">
                  <c:v>3000.0000000000027</c:v>
                </c:pt>
                <c:pt idx="72">
                  <c:v>3000.0000000000027</c:v>
                </c:pt>
                <c:pt idx="73">
                  <c:v>3000.0000000000027</c:v>
                </c:pt>
                <c:pt idx="74">
                  <c:v>3000.0000000000027</c:v>
                </c:pt>
                <c:pt idx="75">
                  <c:v>3000.0000000000027</c:v>
                </c:pt>
                <c:pt idx="76">
                  <c:v>3000.0000000000027</c:v>
                </c:pt>
                <c:pt idx="77">
                  <c:v>3000.0000000000027</c:v>
                </c:pt>
                <c:pt idx="78">
                  <c:v>3000.0000000000027</c:v>
                </c:pt>
                <c:pt idx="79">
                  <c:v>3000.0000000000027</c:v>
                </c:pt>
                <c:pt idx="80">
                  <c:v>3000.0000000000027</c:v>
                </c:pt>
                <c:pt idx="81">
                  <c:v>3000.0000000000027</c:v>
                </c:pt>
                <c:pt idx="82">
                  <c:v>3000.0000000000027</c:v>
                </c:pt>
                <c:pt idx="83">
                  <c:v>3000.0000000000027</c:v>
                </c:pt>
                <c:pt idx="84">
                  <c:v>3000.0000000000027</c:v>
                </c:pt>
                <c:pt idx="85">
                  <c:v>3000.0000000000027</c:v>
                </c:pt>
                <c:pt idx="86">
                  <c:v>3000.0000000000027</c:v>
                </c:pt>
                <c:pt idx="87">
                  <c:v>3000.0000000000027</c:v>
                </c:pt>
                <c:pt idx="88">
                  <c:v>3000.0000000000027</c:v>
                </c:pt>
                <c:pt idx="89">
                  <c:v>3000.0000000000027</c:v>
                </c:pt>
                <c:pt idx="90">
                  <c:v>3000.0000000000027</c:v>
                </c:pt>
                <c:pt idx="91">
                  <c:v>3000.0000000000027</c:v>
                </c:pt>
                <c:pt idx="92">
                  <c:v>3000.0000000000027</c:v>
                </c:pt>
                <c:pt idx="93">
                  <c:v>3000.0000000000027</c:v>
                </c:pt>
                <c:pt idx="94">
                  <c:v>3000.0000000000027</c:v>
                </c:pt>
                <c:pt idx="95">
                  <c:v>3000.0000000000027</c:v>
                </c:pt>
                <c:pt idx="96">
                  <c:v>3000.0000000000027</c:v>
                </c:pt>
                <c:pt idx="97">
                  <c:v>3000.0000000000027</c:v>
                </c:pt>
                <c:pt idx="98">
                  <c:v>3000.0000000000027</c:v>
                </c:pt>
                <c:pt idx="99">
                  <c:v>3000.0000000000027</c:v>
                </c:pt>
                <c:pt idx="100">
                  <c:v>3000.0000000000027</c:v>
                </c:pt>
              </c:numCache>
            </c:numRef>
          </c:yVal>
          <c:smooth val="1"/>
          <c:extLst xmlns:c15="http://schemas.microsoft.com/office/drawing/2012/chart">
            <c:ext xmlns:c16="http://schemas.microsoft.com/office/drawing/2014/chart" uri="{C3380CC4-5D6E-409C-BE32-E72D297353CC}">
              <c16:uniqueId val="{00000006-84F1-46C8-AF31-43A1F270F1CB}"/>
            </c:ext>
          </c:extLst>
        </c:ser>
        <c:dLbls>
          <c:showLegendKey val="0"/>
          <c:showVal val="1"/>
          <c:showCatName val="0"/>
          <c:showSerName val="0"/>
          <c:showPercent val="0"/>
          <c:showBubbleSize val="0"/>
        </c:dLbls>
        <c:axId val="1292577295"/>
        <c:axId val="1296221023"/>
        <c:extLst>
          <c:ext xmlns:c15="http://schemas.microsoft.com/office/drawing/2012/chart" uri="{02D57815-91ED-43cb-92C2-25804820EDAC}">
            <c15:filteredScatterSeries>
              <c15:ser>
                <c:idx val="1"/>
                <c:order val="3"/>
                <c:tx>
                  <c:v>Log(Plants)</c:v>
                </c:tx>
                <c:spPr>
                  <a:ln>
                    <a:solidFill>
                      <a:schemeClr val="accent1">
                        <a:lumMod val="75000"/>
                      </a:schemeClr>
                    </a:solidFill>
                  </a:ln>
                </c:spPr>
                <c:dLbls>
                  <c:spPr>
                    <a:noFill/>
                    <a:ln>
                      <a:noFill/>
                    </a:ln>
                    <a:effectLst/>
                  </c:spPr>
                  <c:showLegendKey val="0"/>
                  <c:showVal val="1"/>
                  <c:showCatName val="0"/>
                  <c:showSerName val="0"/>
                  <c:showPercent val="0"/>
                  <c:showBubbleSize val="0"/>
                  <c:showLeaderLines val="0"/>
                  <c:extLst>
                    <c:ext uri="{CE6537A1-D6FC-4f65-9D91-7224C49458BB}">
                      <c15:showLeaderLines val="1"/>
                    </c:ext>
                  </c:extLst>
                </c:dLbls>
                <c:xVal>
                  <c:numRef>
                    <c:extLst>
                      <c:ext uri="{02D57815-91ED-43cb-92C2-25804820EDAC}">
                        <c15:formulaRef>
                          <c15:sqref>Sheet1!$H$8:$H$1008</c15:sqref>
                        </c15:formulaRef>
                      </c:ext>
                    </c:extLst>
                    <c:numCache>
                      <c:formatCode>0.0000</c:formatCode>
                      <c:ptCount val="1001"/>
                      <c:pt idx="0">
                        <c:v>0</c:v>
                      </c:pt>
                      <c:pt idx="1">
                        <c:v>3.1240806826541246E-3</c:v>
                      </c:pt>
                      <c:pt idx="2">
                        <c:v>6.5128994990270314E-3</c:v>
                      </c:pt>
                      <c:pt idx="3">
                        <c:v>1.0165942744361011E-2</c:v>
                      </c:pt>
                      <c:pt idx="4">
                        <c:v>1.4082696713898338E-2</c:v>
                      </c:pt>
                      <c:pt idx="5">
                        <c:v>1.8262647702881309E-2</c:v>
                      </c:pt>
                      <c:pt idx="6">
                        <c:v>2.2705282006552203E-2</c:v>
                      </c:pt>
                      <c:pt idx="7">
                        <c:v>2.7410085920153301E-2</c:v>
                      </c:pt>
                      <c:pt idx="8">
                        <c:v>3.2376545738926898E-2</c:v>
                      </c:pt>
                      <c:pt idx="9">
                        <c:v>3.7604147758115283E-2</c:v>
                      </c:pt>
                      <c:pt idx="10">
                        <c:v>4.3092378272960731E-2</c:v>
                      </c:pt>
                      <c:pt idx="11">
                        <c:v>4.884072357870553E-2</c:v>
                      </c:pt>
                      <c:pt idx="12">
                        <c:v>5.4848669970591964E-2</c:v>
                      </c:pt>
                      <c:pt idx="13">
                        <c:v>6.1115703743862319E-2</c:v>
                      </c:pt>
                      <c:pt idx="14">
                        <c:v>6.7641311193758893E-2</c:v>
                      </c:pt>
                      <c:pt idx="15">
                        <c:v>7.442497861552394E-2</c:v>
                      </c:pt>
                      <c:pt idx="16">
                        <c:v>8.1466192304399776E-2</c:v>
                      </c:pt>
                      <c:pt idx="17">
                        <c:v>8.8764438555628669E-2</c:v>
                      </c:pt>
                      <c:pt idx="18">
                        <c:v>9.6319203664452929E-2</c:v>
                      </c:pt>
                      <c:pt idx="19">
                        <c:v>0.10412997392611478</c:v>
                      </c:pt>
                      <c:pt idx="20">
                        <c:v>0.11219623563585658</c:v>
                      </c:pt>
                      <c:pt idx="21">
                        <c:v>0.12051747508892059</c:v>
                      </c:pt>
                      <c:pt idx="22">
                        <c:v>0.12909317858054906</c:v>
                      </c:pt>
                      <c:pt idx="23">
                        <c:v>0.13792283240598432</c:v>
                      </c:pt>
                      <c:pt idx="24">
                        <c:v>0.14700592286046865</c:v>
                      </c:pt>
                      <c:pt idx="25">
                        <c:v>0.15634193623924431</c:v>
                      </c:pt>
                      <c:pt idx="26">
                        <c:v>0.16593035883755361</c:v>
                      </c:pt>
                      <c:pt idx="27">
                        <c:v>0.1757706769506388</c:v>
                      </c:pt>
                      <c:pt idx="28">
                        <c:v>0.18586237687374221</c:v>
                      </c:pt>
                      <c:pt idx="29">
                        <c:v>0.19620494490210616</c:v>
                      </c:pt>
                      <c:pt idx="30">
                        <c:v>0.20679786733097277</c:v>
                      </c:pt>
                      <c:pt idx="31">
                        <c:v>0.21764063045558452</c:v>
                      </c:pt>
                      <c:pt idx="32">
                        <c:v>0.22873272057118363</c:v>
                      </c:pt>
                      <c:pt idx="33">
                        <c:v>0.2400736239730123</c:v>
                      </c:pt>
                      <c:pt idx="34">
                        <c:v>0.25166282695631287</c:v>
                      </c:pt>
                      <c:pt idx="35">
                        <c:v>0.26349981581632764</c:v>
                      </c:pt>
                      <c:pt idx="36">
                        <c:v>0.275584076848299</c:v>
                      </c:pt>
                      <c:pt idx="37">
                        <c:v>0.28791509634746904</c:v>
                      </c:pt>
                      <c:pt idx="38">
                        <c:v>0.30049236060908013</c:v>
                      </c:pt>
                      <c:pt idx="39">
                        <c:v>0.31331535592837456</c:v>
                      </c:pt>
                      <c:pt idx="40">
                        <c:v>0.32638356860059459</c:v>
                      </c:pt>
                      <c:pt idx="41">
                        <c:v>0.33969648492098264</c:v>
                      </c:pt>
                      <c:pt idx="42">
                        <c:v>0.35325359118478072</c:v>
                      </c:pt>
                      <c:pt idx="43">
                        <c:v>0.36705437368723143</c:v>
                      </c:pt>
                      <c:pt idx="44">
                        <c:v>0.3810983187235768</c:v>
                      </c:pt>
                      <c:pt idx="45">
                        <c:v>0.39538491258905928</c:v>
                      </c:pt>
                      <c:pt idx="46">
                        <c:v>0.40991364157892113</c:v>
                      </c:pt>
                      <c:pt idx="47">
                        <c:v>0.42468399198840445</c:v>
                      </c:pt>
                      <c:pt idx="48">
                        <c:v>0.4396954501127518</c:v>
                      </c:pt>
                      <c:pt idx="49">
                        <c:v>0.45494750224720532</c:v>
                      </c:pt>
                      <c:pt idx="50">
                        <c:v>0.47043963468700734</c:v>
                      </c:pt>
                      <c:pt idx="51">
                        <c:v>0.48617133372740007</c:v>
                      </c:pt>
                      <c:pt idx="52">
                        <c:v>0.50214208566362584</c:v>
                      </c:pt>
                      <c:pt idx="53">
                        <c:v>0.51835137679092691</c:v>
                      </c:pt>
                      <c:pt idx="54">
                        <c:v>0.53479869340454578</c:v>
                      </c:pt>
                      <c:pt idx="55">
                        <c:v>0.55148352179972437</c:v>
                      </c:pt>
                      <c:pt idx="56">
                        <c:v>0.56840534827170519</c:v>
                      </c:pt>
                      <c:pt idx="57">
                        <c:v>0.58556365911573049</c:v>
                      </c:pt>
                      <c:pt idx="58">
                        <c:v>0.60295794062704244</c:v>
                      </c:pt>
                      <c:pt idx="59">
                        <c:v>0.62058767910088364</c:v>
                      </c:pt>
                      <c:pt idx="60">
                        <c:v>0.63845236083249601</c:v>
                      </c:pt>
                      <c:pt idx="61">
                        <c:v>0.65655147211712206</c:v>
                      </c:pt>
                      <c:pt idx="62">
                        <c:v>0.67488449925000404</c:v>
                      </c:pt>
                      <c:pt idx="63">
                        <c:v>0.69345092852638401</c:v>
                      </c:pt>
                      <c:pt idx="64">
                        <c:v>0.71225024624150468</c:v>
                      </c:pt>
                      <c:pt idx="65">
                        <c:v>0.73128193869060798</c:v>
                      </c:pt>
                      <c:pt idx="66">
                        <c:v>0.7505454921689364</c:v>
                      </c:pt>
                      <c:pt idx="67">
                        <c:v>0.7700403929717321</c:v>
                      </c:pt>
                      <c:pt idx="68">
                        <c:v>0.78976612739423735</c:v>
                      </c:pt>
                      <c:pt idx="69">
                        <c:v>0.80972218173169463</c:v>
                      </c:pt>
                      <c:pt idx="70">
                        <c:v>0.829908042279346</c:v>
                      </c:pt>
                      <c:pt idx="71">
                        <c:v>0.85032319533243395</c:v>
                      </c:pt>
                      <c:pt idx="72">
                        <c:v>0.87096712718620062</c:v>
                      </c:pt>
                      <c:pt idx="73">
                        <c:v>0.89183932413588818</c:v>
                      </c:pt>
                      <c:pt idx="74">
                        <c:v>0.91293927247673923</c:v>
                      </c:pt>
                      <c:pt idx="75">
                        <c:v>0.9342664585039957</c:v>
                      </c:pt>
                      <c:pt idx="76">
                        <c:v>0.95582036851290042</c:v>
                      </c:pt>
                      <c:pt idx="77">
                        <c:v>0.97760048879869477</c:v>
                      </c:pt>
                      <c:pt idx="78">
                        <c:v>0.99960630565662212</c:v>
                      </c:pt>
                      <c:pt idx="79">
                        <c:v>1.0218373053819239</c:v>
                      </c:pt>
                      <c:pt idx="80">
                        <c:v>1.0442929742698428</c:v>
                      </c:pt>
                      <c:pt idx="81">
                        <c:v>1.066972798615621</c:v>
                      </c:pt>
                      <c:pt idx="82">
                        <c:v>1.0898762647145008</c:v>
                      </c:pt>
                      <c:pt idx="83">
                        <c:v>1.1130028588617245</c:v>
                      </c:pt>
                      <c:pt idx="84">
                        <c:v>1.1363520673525342</c:v>
                      </c:pt>
                      <c:pt idx="85">
                        <c:v>1.1599233764821728</c:v>
                      </c:pt>
                      <c:pt idx="86">
                        <c:v>1.1837162725458821</c:v>
                      </c:pt>
                      <c:pt idx="87">
                        <c:v>1.207730241838904</c:v>
                      </c:pt>
                      <c:pt idx="88">
                        <c:v>1.2319647706564816</c:v>
                      </c:pt>
                      <c:pt idx="89">
                        <c:v>1.2564193452938563</c:v>
                      </c:pt>
                      <c:pt idx="90">
                        <c:v>1.2810934520462713</c:v>
                      </c:pt>
                      <c:pt idx="91">
                        <c:v>1.3059865772089685</c:v>
                      </c:pt>
                      <c:pt idx="92">
                        <c:v>1.33109820707719</c:v>
                      </c:pt>
                      <c:pt idx="93">
                        <c:v>1.3564278279461783</c:v>
                      </c:pt>
                      <c:pt idx="94">
                        <c:v>1.3819749261111753</c:v>
                      </c:pt>
                      <c:pt idx="95">
                        <c:v>1.4077389878674242</c:v>
                      </c:pt>
                      <c:pt idx="96">
                        <c:v>1.4337194995101665</c:v>
                      </c:pt>
                      <c:pt idx="97">
                        <c:v>1.4599159473346448</c:v>
                      </c:pt>
                      <c:pt idx="98">
                        <c:v>1.486327817636101</c:v>
                      </c:pt>
                      <c:pt idx="99">
                        <c:v>1.5129545967097777</c:v>
                      </c:pt>
                      <c:pt idx="100">
                        <c:v>1.5397957708509171</c:v>
                      </c:pt>
                      <c:pt idx="101">
                        <c:v>1.5668508263547618</c:v>
                      </c:pt>
                      <c:pt idx="102">
                        <c:v>1.5941192495165535</c:v>
                      </c:pt>
                      <c:pt idx="103">
                        <c:v>1.621600526631535</c:v>
                      </c:pt>
                      <c:pt idx="104">
                        <c:v>1.6492941439949482</c:v>
                      </c:pt>
                      <c:pt idx="105">
                        <c:v>1.6771995879020356</c:v>
                      </c:pt>
                      <c:pt idx="106">
                        <c:v>1.7053163446480393</c:v>
                      </c:pt>
                      <c:pt idx="107">
                        <c:v>1.7336439005282021</c:v>
                      </c:pt>
                      <c:pt idx="108">
                        <c:v>1.7621817418377659</c:v>
                      </c:pt>
                      <c:pt idx="109">
                        <c:v>1.7909293548719727</c:v>
                      </c:pt>
                      <c:pt idx="110">
                        <c:v>1.8198862259260653</c:v>
                      </c:pt>
                      <c:pt idx="111">
                        <c:v>1.8490518412952857</c:v>
                      </c:pt>
                      <c:pt idx="112">
                        <c:v>1.8784256872748761</c:v>
                      </c:pt>
                      <c:pt idx="113">
                        <c:v>1.9080072501600793</c:v>
                      </c:pt>
                      <c:pt idx="114">
                        <c:v>1.937796016246137</c:v>
                      </c:pt>
                      <c:pt idx="115">
                        <c:v>1.9677914718282916</c:v>
                      </c:pt>
                      <c:pt idx="116">
                        <c:v>1.9979931032017859</c:v>
                      </c:pt>
                      <c:pt idx="117">
                        <c:v>2.0284003966618611</c:v>
                      </c:pt>
                      <c:pt idx="118">
                        <c:v>2.0590128385037612</c:v>
                      </c:pt>
                      <c:pt idx="119">
                        <c:v>2.0898299150227264</c:v>
                      </c:pt>
                      <c:pt idx="120">
                        <c:v>2.1208511125140008</c:v>
                      </c:pt>
                      <c:pt idx="121">
                        <c:v>2.1520759172728257</c:v>
                      </c:pt>
                      <c:pt idx="122">
                        <c:v>2.1835038155944435</c:v>
                      </c:pt>
                      <c:pt idx="123">
                        <c:v>2.2151342937740965</c:v>
                      </c:pt>
                      <c:pt idx="124">
                        <c:v>2.2469668381070278</c:v>
                      </c:pt>
                      <c:pt idx="125">
                        <c:v>2.2790009348884777</c:v>
                      </c:pt>
                      <c:pt idx="126">
                        <c:v>2.3112360704136909</c:v>
                      </c:pt>
                      <c:pt idx="127">
                        <c:v>2.3436717309779076</c:v>
                      </c:pt>
                      <c:pt idx="128">
                        <c:v>2.376307402876372</c:v>
                      </c:pt>
                      <c:pt idx="129">
                        <c:v>2.4091425724043249</c:v>
                      </c:pt>
                      <c:pt idx="130">
                        <c:v>2.4421767258570091</c:v>
                      </c:pt>
                      <c:pt idx="131">
                        <c:v>2.4754093495296674</c:v>
                      </c:pt>
                      <c:pt idx="132">
                        <c:v>2.5088399297175403</c:v>
                      </c:pt>
                      <c:pt idx="133">
                        <c:v>2.5424679527158727</c:v>
                      </c:pt>
                      <c:pt idx="134">
                        <c:v>2.5762929048199044</c:v>
                      </c:pt>
                      <c:pt idx="135">
                        <c:v>2.6103142723248798</c:v>
                      </c:pt>
                      <c:pt idx="136">
                        <c:v>2.6445315415260398</c:v>
                      </c:pt>
                      <c:pt idx="137">
                        <c:v>2.6789441987186269</c:v>
                      </c:pt>
                      <c:pt idx="138">
                        <c:v>2.7135517301978842</c:v>
                      </c:pt>
                      <c:pt idx="139">
                        <c:v>2.7483536222590526</c:v>
                      </c:pt>
                      <c:pt idx="140">
                        <c:v>2.7833493611973759</c:v>
                      </c:pt>
                      <c:pt idx="141">
                        <c:v>2.8185384333080949</c:v>
                      </c:pt>
                      <c:pt idx="142">
                        <c:v>2.8539203248864533</c:v>
                      </c:pt>
                      <c:pt idx="143">
                        <c:v>2.8894945222276927</c:v>
                      </c:pt>
                      <c:pt idx="144">
                        <c:v>2.9252605116270547</c:v>
                      </c:pt>
                      <c:pt idx="145">
                        <c:v>2.9612177793797825</c:v>
                      </c:pt>
                      <c:pt idx="146">
                        <c:v>2.9973658117811182</c:v>
                      </c:pt>
                      <c:pt idx="147">
                        <c:v>3.0337040951263043</c:v>
                      </c:pt>
                      <c:pt idx="148">
                        <c:v>3.0702321157105827</c:v>
                      </c:pt>
                      <c:pt idx="149">
                        <c:v>3.1069493598291955</c:v>
                      </c:pt>
                      <c:pt idx="150">
                        <c:v>3.1438553137773853</c:v>
                      </c:pt>
                      <c:pt idx="151">
                        <c:v>3.180949463850395</c:v>
                      </c:pt>
                      <c:pt idx="152">
                        <c:v>3.2182312963434661</c:v>
                      </c:pt>
                      <c:pt idx="153">
                        <c:v>3.255700297551841</c:v>
                      </c:pt>
                      <c:pt idx="154">
                        <c:v>3.2933559537707615</c:v>
                      </c:pt>
                      <c:pt idx="155">
                        <c:v>3.3311977512954707</c:v>
                      </c:pt>
                      <c:pt idx="156">
                        <c:v>3.3692251764212111</c:v>
                      </c:pt>
                      <c:pt idx="157">
                        <c:v>3.407437715443224</c:v>
                      </c:pt>
                      <c:pt idx="158">
                        <c:v>3.4458348546567521</c:v>
                      </c:pt>
                      <c:pt idx="159">
                        <c:v>3.4844160803570383</c:v>
                      </c:pt>
                      <c:pt idx="160">
                        <c:v>3.523180878839324</c:v>
                      </c:pt>
                      <c:pt idx="161">
                        <c:v>3.5621287363988525</c:v>
                      </c:pt>
                      <c:pt idx="162">
                        <c:v>3.6012591393308648</c:v>
                      </c:pt>
                      <c:pt idx="163">
                        <c:v>3.640571573930603</c:v>
                      </c:pt>
                      <c:pt idx="164">
                        <c:v>3.6800655264933115</c:v>
                      </c:pt>
                      <c:pt idx="165">
                        <c:v>3.7197404833142311</c:v>
                      </c:pt>
                      <c:pt idx="166">
                        <c:v>3.759595930688604</c:v>
                      </c:pt>
                      <c:pt idx="167">
                        <c:v>3.7996313549116727</c:v>
                      </c:pt>
                      <c:pt idx="168">
                        <c:v>3.8398462422786794</c:v>
                      </c:pt>
                      <c:pt idx="169">
                        <c:v>3.8802400790848668</c:v>
                      </c:pt>
                      <c:pt idx="170">
                        <c:v>3.920812351625476</c:v>
                      </c:pt>
                      <c:pt idx="171">
                        <c:v>3.9615625461957515</c:v>
                      </c:pt>
                      <c:pt idx="172">
                        <c:v>4.0024901490909341</c:v>
                      </c:pt>
                      <c:pt idx="173">
                        <c:v>4.043594646606266</c:v>
                      </c:pt>
                      <c:pt idx="174">
                        <c:v>4.0848755250369901</c:v>
                      </c:pt>
                      <c:pt idx="175">
                        <c:v>4.1263322706783478</c:v>
                      </c:pt>
                      <c:pt idx="176">
                        <c:v>4.1679643698255822</c:v>
                      </c:pt>
                      <c:pt idx="177">
                        <c:v>4.2097713087739344</c:v>
                      </c:pt>
                      <c:pt idx="178">
                        <c:v>4.2517525738186484</c:v>
                      </c:pt>
                      <c:pt idx="179">
                        <c:v>4.2939076512549654</c:v>
                      </c:pt>
                      <c:pt idx="180">
                        <c:v>4.3362360273781286</c:v>
                      </c:pt>
                      <c:pt idx="181">
                        <c:v>4.3787371884833783</c:v>
                      </c:pt>
                      <c:pt idx="182">
                        <c:v>4.4214106208659594</c:v>
                      </c:pt>
                      <c:pt idx="183">
                        <c:v>4.4642558108211121</c:v>
                      </c:pt>
                      <c:pt idx="184">
                        <c:v>4.5072722446440814</c:v>
                      </c:pt>
                      <c:pt idx="185">
                        <c:v>4.5504594086301067</c:v>
                      </c:pt>
                      <c:pt idx="186">
                        <c:v>4.5938167890744301</c:v>
                      </c:pt>
                      <c:pt idx="187">
                        <c:v>4.6373438722722948</c:v>
                      </c:pt>
                      <c:pt idx="188">
                        <c:v>4.6810401445189438</c:v>
                      </c:pt>
                      <c:pt idx="189">
                        <c:v>4.724905092109621</c:v>
                      </c:pt>
                      <c:pt idx="190">
                        <c:v>4.7689382013395649</c:v>
                      </c:pt>
                      <c:pt idx="191">
                        <c:v>4.8131389585040196</c:v>
                      </c:pt>
                      <c:pt idx="192">
                        <c:v>4.8575068498982272</c:v>
                      </c:pt>
                      <c:pt idx="193">
                        <c:v>4.9020413618174299</c:v>
                      </c:pt>
                      <c:pt idx="194">
                        <c:v>4.9467419805568706</c:v>
                      </c:pt>
                      <c:pt idx="195">
                        <c:v>4.9916081924117917</c:v>
                      </c:pt>
                      <c:pt idx="196">
                        <c:v>5.0366394836774333</c:v>
                      </c:pt>
                      <c:pt idx="197">
                        <c:v>5.0818353406490404</c:v>
                      </c:pt>
                      <c:pt idx="198">
                        <c:v>5.1271952496218534</c:v>
                      </c:pt>
                      <c:pt idx="199">
                        <c:v>5.1727186968911161</c:v>
                      </c:pt>
                      <c:pt idx="200">
                        <c:v>5.2184051687520707</c:v>
                      </c:pt>
                      <c:pt idx="201">
                        <c:v>5.2642541514999577</c:v>
                      </c:pt>
                      <c:pt idx="202">
                        <c:v>5.3102651314300209</c:v>
                      </c:pt>
                      <c:pt idx="203">
                        <c:v>5.3564375948375025</c:v>
                      </c:pt>
                      <c:pt idx="204">
                        <c:v>5.4027710280176438</c:v>
                      </c:pt>
                      <c:pt idx="205">
                        <c:v>5.4492649172656877</c:v>
                      </c:pt>
                      <c:pt idx="206">
                        <c:v>5.4959187488768766</c:v>
                      </c:pt>
                      <c:pt idx="207">
                        <c:v>5.5427320091464551</c:v>
                      </c:pt>
                      <c:pt idx="208">
                        <c:v>5.5897041843696602</c:v>
                      </c:pt>
                      <c:pt idx="209">
                        <c:v>5.6368347608417384</c:v>
                      </c:pt>
                      <c:pt idx="210">
                        <c:v>5.684123224857931</c:v>
                      </c:pt>
                      <c:pt idx="211">
                        <c:v>5.7315690627134783</c:v>
                      </c:pt>
                      <c:pt idx="212">
                        <c:v>5.7791717607036261</c:v>
                      </c:pt>
                      <c:pt idx="213">
                        <c:v>5.8269308051236148</c:v>
                      </c:pt>
                      <c:pt idx="214">
                        <c:v>5.8748456822686865</c:v>
                      </c:pt>
                      <c:pt idx="215">
                        <c:v>5.9229158784340843</c:v>
                      </c:pt>
                      <c:pt idx="216">
                        <c:v>5.9711408799150476</c:v>
                      </c:pt>
                      <c:pt idx="217">
                        <c:v>6.0195201730068231</c:v>
                      </c:pt>
                      <c:pt idx="218">
                        <c:v>6.0680532440046502</c:v>
                      </c:pt>
                      <c:pt idx="219">
                        <c:v>6.116739579203772</c:v>
                      </c:pt>
                      <c:pt idx="220">
                        <c:v>6.1655786648994315</c:v>
                      </c:pt>
                      <c:pt idx="221">
                        <c:v>6.2145699873868701</c:v>
                      </c:pt>
                      <c:pt idx="222">
                        <c:v>6.2637130329613298</c:v>
                      </c:pt>
                      <c:pt idx="223">
                        <c:v>6.3130072879180537</c:v>
                      </c:pt>
                      <c:pt idx="224">
                        <c:v>6.3624522385522821</c:v>
                      </c:pt>
                      <c:pt idx="225">
                        <c:v>6.4120473711592618</c:v>
                      </c:pt>
                      <c:pt idx="226">
                        <c:v>6.4617921720342295</c:v>
                      </c:pt>
                      <c:pt idx="227">
                        <c:v>6.5116861274724327</c:v>
                      </c:pt>
                      <c:pt idx="228">
                        <c:v>6.5617287237691082</c:v>
                      </c:pt>
                      <c:pt idx="229">
                        <c:v>6.6119194472195026</c:v>
                      </c:pt>
                      <c:pt idx="230">
                        <c:v>6.6622577841188573</c:v>
                      </c:pt>
                      <c:pt idx="231">
                        <c:v>6.7127432207624143</c:v>
                      </c:pt>
                      <c:pt idx="232">
                        <c:v>6.763375243445414</c:v>
                      </c:pt>
                      <c:pt idx="233">
                        <c:v>6.8141533384631012</c:v>
                      </c:pt>
                      <c:pt idx="234">
                        <c:v>6.8650769921107182</c:v>
                      </c:pt>
                      <c:pt idx="235">
                        <c:v>6.916145690683507</c:v>
                      </c:pt>
                      <c:pt idx="236">
                        <c:v>6.9673589204767081</c:v>
                      </c:pt>
                      <c:pt idx="237">
                        <c:v>7.0187161677855645</c:v>
                      </c:pt>
                      <c:pt idx="238">
                        <c:v>7.070216918905321</c:v>
                      </c:pt>
                      <c:pt idx="239">
                        <c:v>7.1218606601312153</c:v>
                      </c:pt>
                      <c:pt idx="240">
                        <c:v>7.173646877758495</c:v>
                      </c:pt>
                      <c:pt idx="241">
                        <c:v>7.2255750580823985</c:v>
                      </c:pt>
                      <c:pt idx="242">
                        <c:v>7.2776446873981682</c:v>
                      </c:pt>
                      <c:pt idx="243">
                        <c:v>7.3298552520010487</c:v>
                      </c:pt>
                      <c:pt idx="244">
                        <c:v>7.3822062381862796</c:v>
                      </c:pt>
                      <c:pt idx="245">
                        <c:v>7.4346971322491058</c:v>
                      </c:pt>
                      <c:pt idx="246">
                        <c:v>7.4873274204847666</c:v>
                      </c:pt>
                      <c:pt idx="247">
                        <c:v>7.5400965891885097</c:v>
                      </c:pt>
                      <c:pt idx="248">
                        <c:v>7.59300412465557</c:v>
                      </c:pt>
                      <c:pt idx="249">
                        <c:v>7.6460495131811967</c:v>
                      </c:pt>
                      <c:pt idx="250">
                        <c:v>7.6992322410606242</c:v>
                      </c:pt>
                      <c:pt idx="251">
                        <c:v>7.7525517945891051</c:v>
                      </c:pt>
                      <c:pt idx="252">
                        <c:v>7.8060076600618729</c:v>
                      </c:pt>
                      <c:pt idx="253">
                        <c:v>7.8595993237741739</c:v>
                      </c:pt>
                      <c:pt idx="254">
                        <c:v>7.9133262720212478</c:v>
                      </c:pt>
                      <c:pt idx="255">
                        <c:v>7.9671879910983421</c:v>
                      </c:pt>
                      <c:pt idx="256">
                        <c:v>8.0211839673006935</c:v>
                      </c:pt>
                      <c:pt idx="257">
                        <c:v>8.0753136869235487</c:v>
                      </c:pt>
                      <c:pt idx="258">
                        <c:v>8.1295766362621453</c:v>
                      </c:pt>
                      <c:pt idx="259">
                        <c:v>8.1839723016117283</c:v>
                      </c:pt>
                      <c:pt idx="260">
                        <c:v>8.2385001692675388</c:v>
                      </c:pt>
                      <c:pt idx="261">
                        <c:v>8.2931597255248235</c:v>
                      </c:pt>
                      <c:pt idx="262">
                        <c:v>8.3479504566788165</c:v>
                      </c:pt>
                      <c:pt idx="263">
                        <c:v>8.402871849024768</c:v>
                      </c:pt>
                      <c:pt idx="264">
                        <c:v>8.4579233888579139</c:v>
                      </c:pt>
                      <c:pt idx="265">
                        <c:v>8.5131045624735027</c:v>
                      </c:pt>
                      <c:pt idx="266">
                        <c:v>8.5684148561667719</c:v>
                      </c:pt>
                      <c:pt idx="267">
                        <c:v>8.6238537562329682</c:v>
                      </c:pt>
                      <c:pt idx="268">
                        <c:v>8.6794207489673276</c:v>
                      </c:pt>
                      <c:pt idx="269">
                        <c:v>8.7351153206650984</c:v>
                      </c:pt>
                      <c:pt idx="270">
                        <c:v>8.7909369576215184</c:v>
                      </c:pt>
                      <c:pt idx="271">
                        <c:v>8.8468851461318359</c:v>
                      </c:pt>
                      <c:pt idx="272">
                        <c:v>8.902959372491285</c:v>
                      </c:pt>
                      <c:pt idx="273">
                        <c:v>8.9591591229951142</c:v>
                      </c:pt>
                      <c:pt idx="274">
                        <c:v>9.0154838839385611</c:v>
                      </c:pt>
                      <c:pt idx="275">
                        <c:v>9.071933141616876</c:v>
                      </c:pt>
                      <c:pt idx="276">
                        <c:v>9.1285063823252894</c:v>
                      </c:pt>
                      <c:pt idx="277">
                        <c:v>9.1852030923590533</c:v>
                      </c:pt>
                      <c:pt idx="278">
                        <c:v>9.2420227580134053</c:v>
                      </c:pt>
                      <c:pt idx="279">
                        <c:v>9.2989648655835939</c:v>
                      </c:pt>
                      <c:pt idx="280">
                        <c:v>9.3560289013648497</c:v>
                      </c:pt>
                      <c:pt idx="281">
                        <c:v>9.4132143516524263</c:v>
                      </c:pt>
                      <c:pt idx="282">
                        <c:v>9.4705207027415597</c:v>
                      </c:pt>
                      <c:pt idx="283">
                        <c:v>9.5279474409274965</c:v>
                      </c:pt>
                      <c:pt idx="284">
                        <c:v>9.5854940525054744</c:v>
                      </c:pt>
                      <c:pt idx="285">
                        <c:v>9.64316002377074</c:v>
                      </c:pt>
                      <c:pt idx="286">
                        <c:v>9.7009448410185293</c:v>
                      </c:pt>
                      <c:pt idx="287">
                        <c:v>9.7588479905440906</c:v>
                      </c:pt>
                      <c:pt idx="288">
                        <c:v>9.8168689586426652</c:v>
                      </c:pt>
                      <c:pt idx="289">
                        <c:v>9.8750072316094961</c:v>
                      </c:pt>
                      <c:pt idx="290">
                        <c:v>9.9332622957398193</c:v>
                      </c:pt>
                      <c:pt idx="291">
                        <c:v>9.991633637328885</c:v>
                      </c:pt>
                      <c:pt idx="292">
                        <c:v>10.050120742671931</c:v>
                      </c:pt>
                      <c:pt idx="293">
                        <c:v>10.108723098064203</c:v>
                      </c:pt>
                      <c:pt idx="294">
                        <c:v>10.167440189800937</c:v>
                      </c:pt>
                      <c:pt idx="295">
                        <c:v>10.226271504177383</c:v>
                      </c:pt>
                      <c:pt idx="296">
                        <c:v>10.285216527488776</c:v>
                      </c:pt>
                      <c:pt idx="297">
                        <c:v>10.344274746030367</c:v>
                      </c:pt>
                      <c:pt idx="298">
                        <c:v>10.403445646097389</c:v>
                      </c:pt>
                      <c:pt idx="299">
                        <c:v>10.46272871398509</c:v>
                      </c:pt>
                      <c:pt idx="300">
                        <c:v>10.522123435988709</c:v>
                      </c:pt>
                      <c:pt idx="301">
                        <c:v>10.581629298403493</c:v>
                      </c:pt>
                      <c:pt idx="302">
                        <c:v>10.641245787524682</c:v>
                      </c:pt>
                      <c:pt idx="303">
                        <c:v>10.700972389647516</c:v>
                      </c:pt>
                      <c:pt idx="304">
                        <c:v>10.760808591067239</c:v>
                      </c:pt>
                      <c:pt idx="305">
                        <c:v>10.82075387807909</c:v>
                      </c:pt>
                      <c:pt idx="306">
                        <c:v>10.880807736978319</c:v>
                      </c:pt>
                      <c:pt idx="307">
                        <c:v>10.940969654060162</c:v>
                      </c:pt>
                      <c:pt idx="308">
                        <c:v>11.00123911561986</c:v>
                      </c:pt>
                      <c:pt idx="309">
                        <c:v>11.061615607952664</c:v>
                      </c:pt>
                      <c:pt idx="310">
                        <c:v>11.122098617353808</c:v>
                      </c:pt>
                      <c:pt idx="311">
                        <c:v>11.182687630118538</c:v>
                      </c:pt>
                      <c:pt idx="312">
                        <c:v>11.243382132542093</c:v>
                      </c:pt>
                      <c:pt idx="313">
                        <c:v>11.304181610919724</c:v>
                      </c:pt>
                      <c:pt idx="314">
                        <c:v>11.365085551546656</c:v>
                      </c:pt>
                      <c:pt idx="315">
                        <c:v>11.426093440718152</c:v>
                      </c:pt>
                      <c:pt idx="316">
                        <c:v>11.487204764729437</c:v>
                      </c:pt>
                      <c:pt idx="317">
                        <c:v>11.548419009875765</c:v>
                      </c:pt>
                      <c:pt idx="318">
                        <c:v>11.609735662452373</c:v>
                      </c:pt>
                      <c:pt idx="319">
                        <c:v>11.671154208754503</c:v>
                      </c:pt>
                      <c:pt idx="320">
                        <c:v>11.732674135077399</c:v>
                      </c:pt>
                      <c:pt idx="321">
                        <c:v>11.794294927716304</c:v>
                      </c:pt>
                      <c:pt idx="322">
                        <c:v>11.856016072966458</c:v>
                      </c:pt>
                      <c:pt idx="323">
                        <c:v>11.917837057123107</c:v>
                      </c:pt>
                      <c:pt idx="324">
                        <c:v>11.979757366481488</c:v>
                      </c:pt>
                      <c:pt idx="325">
                        <c:v>12.041776487336845</c:v>
                      </c:pt>
                      <c:pt idx="326">
                        <c:v>12.103893905984421</c:v>
                      </c:pt>
                      <c:pt idx="327">
                        <c:v>12.166109108719461</c:v>
                      </c:pt>
                      <c:pt idx="328">
                        <c:v>12.228421581837202</c:v>
                      </c:pt>
                      <c:pt idx="329">
                        <c:v>12.290830811632892</c:v>
                      </c:pt>
                      <c:pt idx="330">
                        <c:v>12.353336284401768</c:v>
                      </c:pt>
                      <c:pt idx="331">
                        <c:v>12.415937486439079</c:v>
                      </c:pt>
                      <c:pt idx="332">
                        <c:v>12.478633904040056</c:v>
                      </c:pt>
                      <c:pt idx="333">
                        <c:v>12.541425023499952</c:v>
                      </c:pt>
                      <c:pt idx="334">
                        <c:v>12.604310331114005</c:v>
                      </c:pt>
                      <c:pt idx="335">
                        <c:v>12.667289313177459</c:v>
                      </c:pt>
                      <c:pt idx="336">
                        <c:v>12.730361455985552</c:v>
                      </c:pt>
                      <c:pt idx="337">
                        <c:v>12.793526245833533</c:v>
                      </c:pt>
                      <c:pt idx="338">
                        <c:v>12.856783169016639</c:v>
                      </c:pt>
                      <c:pt idx="339">
                        <c:v>12.920131711830114</c:v>
                      </c:pt>
                      <c:pt idx="340">
                        <c:v>12.983571360569199</c:v>
                      </c:pt>
                      <c:pt idx="341">
                        <c:v>13.047101601529143</c:v>
                      </c:pt>
                      <c:pt idx="342">
                        <c:v>13.110721921005174</c:v>
                      </c:pt>
                      <c:pt idx="343">
                        <c:v>13.174431805292551</c:v>
                      </c:pt>
                      <c:pt idx="344">
                        <c:v>13.238230740686502</c:v>
                      </c:pt>
                      <c:pt idx="345">
                        <c:v>13.302118213482281</c:v>
                      </c:pt>
                      <c:pt idx="346">
                        <c:v>13.36609370997512</c:v>
                      </c:pt>
                      <c:pt idx="347">
                        <c:v>13.430156716460271</c:v>
                      </c:pt>
                      <c:pt idx="348">
                        <c:v>13.494306719232966</c:v>
                      </c:pt>
                      <c:pt idx="349">
                        <c:v>13.558543204588457</c:v>
                      </c:pt>
                      <c:pt idx="350">
                        <c:v>13.622865658821979</c:v>
                      </c:pt>
                      <c:pt idx="351">
                        <c:v>13.687273568228782</c:v>
                      </c:pt>
                      <c:pt idx="352">
                        <c:v>13.751766419104101</c:v>
                      </c:pt>
                      <c:pt idx="353">
                        <c:v>13.81634369774318</c:v>
                      </c:pt>
                      <c:pt idx="354">
                        <c:v>13.881004890441259</c:v>
                      </c:pt>
                      <c:pt idx="355">
                        <c:v>13.945749483493593</c:v>
                      </c:pt>
                      <c:pt idx="356">
                        <c:v>14.010576963195403</c:v>
                      </c:pt>
                      <c:pt idx="357">
                        <c:v>14.075486815841952</c:v>
                      </c:pt>
                      <c:pt idx="358">
                        <c:v>14.140478527728472</c:v>
                      </c:pt>
                      <c:pt idx="359">
                        <c:v>14.205551585150204</c:v>
                      </c:pt>
                      <c:pt idx="360">
                        <c:v>14.270705474402394</c:v>
                      </c:pt>
                      <c:pt idx="361">
                        <c:v>14.335939681780285</c:v>
                      </c:pt>
                      <c:pt idx="362">
                        <c:v>14.401253693579111</c:v>
                      </c:pt>
                      <c:pt idx="363">
                        <c:v>14.466646996094131</c:v>
                      </c:pt>
                      <c:pt idx="364">
                        <c:v>14.532119075620569</c:v>
                      </c:pt>
                      <c:pt idx="365">
                        <c:v>14.59766941845368</c:v>
                      </c:pt>
                      <c:pt idx="366">
                        <c:v>14.663297510888697</c:v>
                      </c:pt>
                      <c:pt idx="367">
                        <c:v>14.729002839220872</c:v>
                      </c:pt>
                      <c:pt idx="368">
                        <c:v>14.794784889745438</c:v>
                      </c:pt>
                      <c:pt idx="369">
                        <c:v>14.860643148757642</c:v>
                      </c:pt>
                      <c:pt idx="370">
                        <c:v>14.926577102552729</c:v>
                      </c:pt>
                      <c:pt idx="371">
                        <c:v>14.992586237425936</c:v>
                      </c:pt>
                      <c:pt idx="372">
                        <c:v>15.058670039672505</c:v>
                      </c:pt>
                      <c:pt idx="373">
                        <c:v>15.124827995587685</c:v>
                      </c:pt>
                      <c:pt idx="374">
                        <c:v>15.191059591466708</c:v>
                      </c:pt>
                      <c:pt idx="375">
                        <c:v>15.257364313604832</c:v>
                      </c:pt>
                      <c:pt idx="376">
                        <c:v>15.323741648297275</c:v>
                      </c:pt>
                      <c:pt idx="377">
                        <c:v>15.390191081839307</c:v>
                      </c:pt>
                      <c:pt idx="378">
                        <c:v>15.456712100526151</c:v>
                      </c:pt>
                      <c:pt idx="379">
                        <c:v>15.523304190653057</c:v>
                      </c:pt>
                      <c:pt idx="380">
                        <c:v>15.589966838515265</c:v>
                      </c:pt>
                      <c:pt idx="381">
                        <c:v>15.656699530408016</c:v>
                      </c:pt>
                      <c:pt idx="382">
                        <c:v>15.723501752626557</c:v>
                      </c:pt>
                      <c:pt idx="383">
                        <c:v>15.790372991466127</c:v>
                      </c:pt>
                      <c:pt idx="384">
                        <c:v>15.857312733221967</c:v>
                      </c:pt>
                      <c:pt idx="385">
                        <c:v>15.924320464189325</c:v>
                      </c:pt>
                      <c:pt idx="386">
                        <c:v>15.991395670663431</c:v>
                      </c:pt>
                      <c:pt idx="387">
                        <c:v>16.05853783893955</c:v>
                      </c:pt>
                      <c:pt idx="388">
                        <c:v>16.125746455312896</c:v>
                      </c:pt>
                      <c:pt idx="389">
                        <c:v>16.193021006078734</c:v>
                      </c:pt>
                      <c:pt idx="390">
                        <c:v>16.260360977532294</c:v>
                      </c:pt>
                      <c:pt idx="391">
                        <c:v>16.327765855968824</c:v>
                      </c:pt>
                      <c:pt idx="392">
                        <c:v>16.395235127683556</c:v>
                      </c:pt>
                      <c:pt idx="393">
                        <c:v>16.462768278971748</c:v>
                      </c:pt>
                      <c:pt idx="394">
                        <c:v>16.53036479612863</c:v>
                      </c:pt>
                      <c:pt idx="395">
                        <c:v>16.598024165449456</c:v>
                      </c:pt>
                      <c:pt idx="396">
                        <c:v>16.665745873229451</c:v>
                      </c:pt>
                      <c:pt idx="397">
                        <c:v>16.733529405763878</c:v>
                      </c:pt>
                      <c:pt idx="398">
                        <c:v>16.801374249347958</c:v>
                      </c:pt>
                      <c:pt idx="399">
                        <c:v>16.869279890276953</c:v>
                      </c:pt>
                      <c:pt idx="400">
                        <c:v>16.937245814846094</c:v>
                      </c:pt>
                      <c:pt idx="401">
                        <c:v>17.005271509350624</c:v>
                      </c:pt>
                      <c:pt idx="402">
                        <c:v>17.073356460085783</c:v>
                      </c:pt>
                      <c:pt idx="403">
                        <c:v>17.141500153346826</c:v>
                      </c:pt>
                      <c:pt idx="404">
                        <c:v>17.209702075428979</c:v>
                      </c:pt>
                      <c:pt idx="405">
                        <c:v>17.277961712627501</c:v>
                      </c:pt>
                      <c:pt idx="406">
                        <c:v>17.346278551237614</c:v>
                      </c:pt>
                      <c:pt idx="407">
                        <c:v>17.414652077554578</c:v>
                      </c:pt>
                      <c:pt idx="408">
                        <c:v>17.483081777873629</c:v>
                      </c:pt>
                      <c:pt idx="409">
                        <c:v>17.551567138490007</c:v>
                      </c:pt>
                      <c:pt idx="410">
                        <c:v>17.620107645698951</c:v>
                      </c:pt>
                      <c:pt idx="411">
                        <c:v>17.688702785795716</c:v>
                      </c:pt>
                      <c:pt idx="412">
                        <c:v>17.757352045075532</c:v>
                      </c:pt>
                      <c:pt idx="413">
                        <c:v>17.826054909833651</c:v>
                      </c:pt>
                      <c:pt idx="414">
                        <c:v>17.894810866365304</c:v>
                      </c:pt>
                      <c:pt idx="415">
                        <c:v>17.963619400965747</c:v>
                      </c:pt>
                      <c:pt idx="416">
                        <c:v>18.032479999930207</c:v>
                      </c:pt>
                      <c:pt idx="417">
                        <c:v>18.101392149553945</c:v>
                      </c:pt>
                      <c:pt idx="418">
                        <c:v>18.170355336132182</c:v>
                      </c:pt>
                      <c:pt idx="419">
                        <c:v>18.239369045960174</c:v>
                      </c:pt>
                      <c:pt idx="420">
                        <c:v>18.308432765333158</c:v>
                      </c:pt>
                      <c:pt idx="421">
                        <c:v>18.377545980546383</c:v>
                      </c:pt>
                      <c:pt idx="422">
                        <c:v>18.446708177895083</c:v>
                      </c:pt>
                      <c:pt idx="423">
                        <c:v>18.515918843674505</c:v>
                      </c:pt>
                      <c:pt idx="424">
                        <c:v>18.585177464179889</c:v>
                      </c:pt>
                      <c:pt idx="425">
                        <c:v>18.654483525706482</c:v>
                      </c:pt>
                      <c:pt idx="426">
                        <c:v>18.723836514549518</c:v>
                      </c:pt>
                      <c:pt idx="427">
                        <c:v>18.79323591700425</c:v>
                      </c:pt>
                      <c:pt idx="428">
                        <c:v>18.862681219365911</c:v>
                      </c:pt>
                      <c:pt idx="429">
                        <c:v>18.932171907929746</c:v>
                      </c:pt>
                      <c:pt idx="430">
                        <c:v>19.001707468990997</c:v>
                      </c:pt>
                      <c:pt idx="431">
                        <c:v>19.071287388844908</c:v>
                      </c:pt>
                      <c:pt idx="432">
                        <c:v>19.140911153786721</c:v>
                      </c:pt>
                      <c:pt idx="433">
                        <c:v>19.210578250111677</c:v>
                      </c:pt>
                      <c:pt idx="434">
                        <c:v>19.280288164115017</c:v>
                      </c:pt>
                      <c:pt idx="435">
                        <c:v>19.35004038209199</c:v>
                      </c:pt>
                      <c:pt idx="436">
                        <c:v>19.419834390337829</c:v>
                      </c:pt>
                      <c:pt idx="437">
                        <c:v>19.489669675147788</c:v>
                      </c:pt>
                      <c:pt idx="438">
                        <c:v>19.559545722817091</c:v>
                      </c:pt>
                      <c:pt idx="439">
                        <c:v>19.629462019641</c:v>
                      </c:pt>
                      <c:pt idx="440">
                        <c:v>19.699418051914748</c:v>
                      </c:pt>
                      <c:pt idx="441">
                        <c:v>19.769413305933579</c:v>
                      </c:pt>
                      <c:pt idx="442">
                        <c:v>19.839447267992728</c:v>
                      </c:pt>
                      <c:pt idx="443">
                        <c:v>19.909519424387454</c:v>
                      </c:pt>
                      <c:pt idx="444">
                        <c:v>19.979629261412978</c:v>
                      </c:pt>
                      <c:pt idx="445">
                        <c:v>20.04977626536456</c:v>
                      </c:pt>
                      <c:pt idx="446">
                        <c:v>20.119959922537429</c:v>
                      </c:pt>
                      <c:pt idx="447">
                        <c:v>20.19017971922684</c:v>
                      </c:pt>
                      <c:pt idx="448">
                        <c:v>20.260435141728024</c:v>
                      </c:pt>
                      <c:pt idx="449">
                        <c:v>20.330725676336236</c:v>
                      </c:pt>
                      <c:pt idx="450">
                        <c:v>20.4010508093467</c:v>
                      </c:pt>
                      <c:pt idx="451">
                        <c:v>20.471410027054681</c:v>
                      </c:pt>
                      <c:pt idx="452">
                        <c:v>20.541802815755396</c:v>
                      </c:pt>
                      <c:pt idx="453">
                        <c:v>20.612228661744108</c:v>
                      </c:pt>
                      <c:pt idx="454">
                        <c:v>20.682687051316051</c:v>
                      </c:pt>
                      <c:pt idx="455">
                        <c:v>20.75317747076647</c:v>
                      </c:pt>
                      <c:pt idx="456">
                        <c:v>20.823699406390599</c:v>
                      </c:pt>
                      <c:pt idx="457">
                        <c:v>20.894252344483693</c:v>
                      </c:pt>
                      <c:pt idx="458">
                        <c:v>20.964835771340983</c:v>
                      </c:pt>
                      <c:pt idx="459">
                        <c:v>21.035449173257724</c:v>
                      </c:pt>
                      <c:pt idx="460">
                        <c:v>21.106092036529141</c:v>
                      </c:pt>
                      <c:pt idx="461">
                        <c:v>21.176763847450491</c:v>
                      </c:pt>
                      <c:pt idx="462">
                        <c:v>21.247464092317006</c:v>
                      </c:pt>
                      <c:pt idx="463">
                        <c:v>21.318192257423942</c:v>
                      </c:pt>
                      <c:pt idx="464">
                        <c:v>21.388947829066524</c:v>
                      </c:pt>
                      <c:pt idx="465">
                        <c:v>21.459730293540009</c:v>
                      </c:pt>
                      <c:pt idx="466">
                        <c:v>21.530539137139627</c:v>
                      </c:pt>
                      <c:pt idx="467">
                        <c:v>21.601373846160634</c:v>
                      </c:pt>
                      <c:pt idx="468">
                        <c:v>21.672233906898256</c:v>
                      </c:pt>
                      <c:pt idx="469">
                        <c:v>21.743118805647754</c:v>
                      </c:pt>
                      <c:pt idx="470">
                        <c:v>21.81402802870435</c:v>
                      </c:pt>
                      <c:pt idx="471">
                        <c:v>21.884961062363306</c:v>
                      </c:pt>
                      <c:pt idx="472">
                        <c:v>21.955917392919847</c:v>
                      </c:pt>
                      <c:pt idx="473">
                        <c:v>22.026896506669232</c:v>
                      </c:pt>
                      <c:pt idx="474">
                        <c:v>22.097897889906683</c:v>
                      </c:pt>
                      <c:pt idx="475">
                        <c:v>22.168921028927461</c:v>
                      </c:pt>
                      <c:pt idx="476">
                        <c:v>22.239965410026798</c:v>
                      </c:pt>
                      <c:pt idx="477">
                        <c:v>22.311030519499944</c:v>
                      </c:pt>
                      <c:pt idx="478">
                        <c:v>22.382115843642133</c:v>
                      </c:pt>
                      <c:pt idx="479">
                        <c:v>22.453220868748613</c:v>
                      </c:pt>
                      <c:pt idx="480">
                        <c:v>22.524345081114618</c:v>
                      </c:pt>
                      <c:pt idx="481">
                        <c:v>22.5954879670354</c:v>
                      </c:pt>
                      <c:pt idx="482">
                        <c:v>22.6666490128062</c:v>
                      </c:pt>
                      <c:pt idx="483">
                        <c:v>22.737827704722257</c:v>
                      </c:pt>
                      <c:pt idx="484">
                        <c:v>22.809023529078811</c:v>
                      </c:pt>
                      <c:pt idx="485">
                        <c:v>22.880235972171114</c:v>
                      </c:pt>
                      <c:pt idx="486">
                        <c:v>22.951464520294397</c:v>
                      </c:pt>
                      <c:pt idx="487">
                        <c:v>23.022708659743913</c:v>
                      </c:pt>
                      <c:pt idx="488">
                        <c:v>23.093967876814887</c:v>
                      </c:pt>
                      <c:pt idx="489">
                        <c:v>23.165241657802579</c:v>
                      </c:pt>
                      <c:pt idx="490">
                        <c:v>23.236529489002226</c:v>
                      </c:pt>
                      <c:pt idx="491">
                        <c:v>23.307830856709074</c:v>
                      </c:pt>
                      <c:pt idx="492">
                        <c:v>23.379145247218354</c:v>
                      </c:pt>
                      <c:pt idx="493">
                        <c:v>23.450472146825316</c:v>
                      </c:pt>
                      <c:pt idx="494">
                        <c:v>23.521811041825202</c:v>
                      </c:pt>
                      <c:pt idx="495">
                        <c:v>23.593161418513255</c:v>
                      </c:pt>
                      <c:pt idx="496">
                        <c:v>23.66452276318471</c:v>
                      </c:pt>
                      <c:pt idx="497">
                        <c:v>23.735894562134824</c:v>
                      </c:pt>
                      <c:pt idx="498">
                        <c:v>23.807276301658813</c:v>
                      </c:pt>
                      <c:pt idx="499">
                        <c:v>23.878667468051955</c:v>
                      </c:pt>
                      <c:pt idx="500">
                        <c:v>23.950067547609464</c:v>
                      </c:pt>
                      <c:pt idx="501">
                        <c:v>24.021476026626591</c:v>
                      </c:pt>
                      <c:pt idx="502">
                        <c:v>24.092892391398589</c:v>
                      </c:pt>
                      <c:pt idx="503">
                        <c:v>24.164316128220676</c:v>
                      </c:pt>
                      <c:pt idx="504">
                        <c:v>24.235746723388125</c:v>
                      </c:pt>
                      <c:pt idx="505">
                        <c:v>24.307183663196156</c:v>
                      </c:pt>
                      <c:pt idx="506">
                        <c:v>24.37862643394001</c:v>
                      </c:pt>
                      <c:pt idx="507">
                        <c:v>24.450074521914949</c:v>
                      </c:pt>
                      <c:pt idx="508">
                        <c:v>24.521527413416194</c:v>
                      </c:pt>
                      <c:pt idx="509">
                        <c:v>24.592984594739001</c:v>
                      </c:pt>
                      <c:pt idx="510">
                        <c:v>24.664445552178606</c:v>
                      </c:pt>
                      <c:pt idx="511">
                        <c:v>24.735909772030254</c:v>
                      </c:pt>
                      <c:pt idx="512">
                        <c:v>24.807376740589195</c:v>
                      </c:pt>
                      <c:pt idx="513">
                        <c:v>24.878845944150655</c:v>
                      </c:pt>
                      <c:pt idx="514">
                        <c:v>24.950316869009882</c:v>
                      </c:pt>
                      <c:pt idx="515">
                        <c:v>25.021789001462118</c:v>
                      </c:pt>
                      <c:pt idx="516">
                        <c:v>25.093261827802614</c:v>
                      </c:pt>
                      <c:pt idx="517">
                        <c:v>25.164734834326598</c:v>
                      </c:pt>
                      <c:pt idx="518">
                        <c:v>25.236207507329318</c:v>
                      </c:pt>
                      <c:pt idx="519">
                        <c:v>25.30767933310603</c:v>
                      </c:pt>
                      <c:pt idx="520">
                        <c:v>25.379149797951957</c:v>
                      </c:pt>
                      <c:pt idx="521">
                        <c:v>25.450618388162354</c:v>
                      </c:pt>
                      <c:pt idx="522">
                        <c:v>25.522084590032453</c:v>
                      </c:pt>
                      <c:pt idx="523">
                        <c:v>25.593547889857501</c:v>
                      </c:pt>
                      <c:pt idx="524">
                        <c:v>25.665007773932746</c:v>
                      </c:pt>
                      <c:pt idx="525">
                        <c:v>25.736463728553421</c:v>
                      </c:pt>
                      <c:pt idx="526">
                        <c:v>25.807915240014772</c:v>
                      </c:pt>
                      <c:pt idx="527">
                        <c:v>25.879361794612045</c:v>
                      </c:pt>
                      <c:pt idx="528">
                        <c:v>25.95080287864047</c:v>
                      </c:pt>
                      <c:pt idx="529">
                        <c:v>26.02223797839531</c:v>
                      </c:pt>
                      <c:pt idx="530">
                        <c:v>26.093666580171785</c:v>
                      </c:pt>
                      <c:pt idx="531">
                        <c:v>26.165088170265157</c:v>
                      </c:pt>
                      <c:pt idx="532">
                        <c:v>26.236502234970651</c:v>
                      </c:pt>
                      <c:pt idx="533">
                        <c:v>26.30790826058352</c:v>
                      </c:pt>
                      <c:pt idx="534">
                        <c:v>26.379305733399011</c:v>
                      </c:pt>
                      <c:pt idx="535">
                        <c:v>26.450694139712347</c:v>
                      </c:pt>
                      <c:pt idx="536">
                        <c:v>26.522072965818786</c:v>
                      </c:pt>
                      <c:pt idx="537">
                        <c:v>26.593441698013567</c:v>
                      </c:pt>
                      <c:pt idx="538">
                        <c:v>26.664799822591934</c:v>
                      </c:pt>
                      <c:pt idx="539">
                        <c:v>26.736146825849129</c:v>
                      </c:pt>
                      <c:pt idx="540">
                        <c:v>26.807482194080386</c:v>
                      </c:pt>
                      <c:pt idx="541">
                        <c:v>26.878805413580956</c:v>
                      </c:pt>
                      <c:pt idx="542">
                        <c:v>26.950115970646078</c:v>
                      </c:pt>
                      <c:pt idx="543">
                        <c:v>27.021413351570999</c:v>
                      </c:pt>
                      <c:pt idx="544">
                        <c:v>27.092697042650954</c:v>
                      </c:pt>
                      <c:pt idx="545">
                        <c:v>27.163966530181185</c:v>
                      </c:pt>
                      <c:pt idx="546">
                        <c:v>27.235221300456942</c:v>
                      </c:pt>
                      <c:pt idx="547">
                        <c:v>27.306460839773464</c:v>
                      </c:pt>
                      <c:pt idx="548">
                        <c:v>27.377684634425989</c:v>
                      </c:pt>
                      <c:pt idx="549">
                        <c:v>27.448892170709769</c:v>
                      </c:pt>
                      <c:pt idx="550">
                        <c:v>27.52008293492004</c:v>
                      </c:pt>
                      <c:pt idx="551">
                        <c:v>27.591256413352035</c:v>
                      </c:pt>
                      <c:pt idx="552">
                        <c:v>27.662412092301015</c:v>
                      </c:pt>
                      <c:pt idx="553">
                        <c:v>27.733549458062214</c:v>
                      </c:pt>
                      <c:pt idx="554">
                        <c:v>27.80466799693086</c:v>
                      </c:pt>
                      <c:pt idx="555">
                        <c:v>27.875767195202222</c:v>
                      </c:pt>
                      <c:pt idx="556">
                        <c:v>27.946846539171517</c:v>
                      </c:pt>
                      <c:pt idx="557">
                        <c:v>28.017905515134018</c:v>
                      </c:pt>
                      <c:pt idx="558">
                        <c:v>28.088943609384931</c:v>
                      </c:pt>
                      <c:pt idx="559">
                        <c:v>28.159960308219524</c:v>
                      </c:pt>
                      <c:pt idx="560">
                        <c:v>28.230955097933023</c:v>
                      </c:pt>
                      <c:pt idx="561">
                        <c:v>28.301927464820682</c:v>
                      </c:pt>
                      <c:pt idx="562">
                        <c:v>28.372876895177747</c:v>
                      </c:pt>
                      <c:pt idx="563">
                        <c:v>28.443802875299447</c:v>
                      </c:pt>
                      <c:pt idx="564">
                        <c:v>28.514704891481028</c:v>
                      </c:pt>
                      <c:pt idx="565">
                        <c:v>28.585582430017737</c:v>
                      </c:pt>
                      <c:pt idx="566">
                        <c:v>28.65643497720481</c:v>
                      </c:pt>
                      <c:pt idx="567">
                        <c:v>28.727262019337502</c:v>
                      </c:pt>
                      <c:pt idx="568">
                        <c:v>28.798063042711039</c:v>
                      </c:pt>
                      <c:pt idx="569">
                        <c:v>28.86883753362067</c:v>
                      </c:pt>
                      <c:pt idx="570">
                        <c:v>28.939584978361637</c:v>
                      </c:pt>
                      <c:pt idx="571">
                        <c:v>29.010304863229191</c:v>
                      </c:pt>
                      <c:pt idx="572">
                        <c:v>29.080996674518563</c:v>
                      </c:pt>
                      <c:pt idx="573">
                        <c:v>29.151659898524997</c:v>
                      </c:pt>
                      <c:pt idx="574">
                        <c:v>29.222294021543732</c:v>
                      </c:pt>
                      <c:pt idx="575">
                        <c:v>29.292898529870019</c:v>
                      </c:pt>
                      <c:pt idx="576">
                        <c:v>29.3634729097991</c:v>
                      </c:pt>
                      <c:pt idx="577">
                        <c:v>29.434016647626216</c:v>
                      </c:pt>
                      <c:pt idx="578">
                        <c:v>29.5045292296466</c:v>
                      </c:pt>
                      <c:pt idx="579">
                        <c:v>29.575010142155499</c:v>
                      </c:pt>
                      <c:pt idx="580">
                        <c:v>29.64545887144817</c:v>
                      </c:pt>
                      <c:pt idx="581">
                        <c:v>29.715874903819824</c:v>
                      </c:pt>
                      <c:pt idx="582">
                        <c:v>29.78625772556574</c:v>
                      </c:pt>
                      <c:pt idx="583">
                        <c:v>29.856606822981139</c:v>
                      </c:pt>
                      <c:pt idx="584">
                        <c:v>29.926921682361257</c:v>
                      </c:pt>
                      <c:pt idx="585">
                        <c:v>29.997201790001355</c:v>
                      </c:pt>
                      <c:pt idx="586">
                        <c:v>30.067446632196663</c:v>
                      </c:pt>
                      <c:pt idx="587">
                        <c:v>30.137655695242422</c:v>
                      </c:pt>
                      <c:pt idx="588">
                        <c:v>30.207828465433892</c:v>
                      </c:pt>
                      <c:pt idx="589">
                        <c:v>30.277964429066291</c:v>
                      </c:pt>
                      <c:pt idx="590">
                        <c:v>30.348063072434879</c:v>
                      </c:pt>
                      <c:pt idx="591">
                        <c:v>30.418123881834894</c:v>
                      </c:pt>
                      <c:pt idx="592">
                        <c:v>30.488146343561571</c:v>
                      </c:pt>
                      <c:pt idx="593">
                        <c:v>30.558129943910153</c:v>
                      </c:pt>
                      <c:pt idx="594">
                        <c:v>30.628074169175896</c:v>
                      </c:pt>
                      <c:pt idx="595">
                        <c:v>30.697978505654024</c:v>
                      </c:pt>
                      <c:pt idx="596">
                        <c:v>30.767842439639789</c:v>
                      </c:pt>
                      <c:pt idx="597">
                        <c:v>30.837665457428443</c:v>
                      </c:pt>
                      <c:pt idx="598">
                        <c:v>30.907447045315209</c:v>
                      </c:pt>
                      <c:pt idx="599">
                        <c:v>30.977186689595342</c:v>
                      </c:pt>
                      <c:pt idx="600">
                        <c:v>31.046883876564078</c:v>
                      </c:pt>
                      <c:pt idx="601">
                        <c:v>31.116538092516663</c:v>
                      </c:pt>
                      <c:pt idx="602">
                        <c:v>31.186148823748333</c:v>
                      </c:pt>
                      <c:pt idx="603">
                        <c:v>31.255715556554346</c:v>
                      </c:pt>
                      <c:pt idx="604">
                        <c:v>31.325237777229926</c:v>
                      </c:pt>
                      <c:pt idx="605">
                        <c:v>31.394714972070318</c:v>
                      </c:pt>
                      <c:pt idx="606">
                        <c:v>31.464146627370777</c:v>
                      </c:pt>
                      <c:pt idx="607">
                        <c:v>31.533532229426534</c:v>
                      </c:pt>
                      <c:pt idx="608">
                        <c:v>31.602871264532844</c:v>
                      </c:pt>
                      <c:pt idx="609">
                        <c:v>31.67216321898492</c:v>
                      </c:pt>
                      <c:pt idx="610">
                        <c:v>31.741407579078043</c:v>
                      </c:pt>
                      <c:pt idx="611">
                        <c:v>31.810603831107429</c:v>
                      </c:pt>
                      <c:pt idx="612">
                        <c:v>31.879751461368322</c:v>
                      </c:pt>
                      <c:pt idx="613">
                        <c:v>31.948849956155982</c:v>
                      </c:pt>
                      <c:pt idx="614">
                        <c:v>32.017898801765632</c:v>
                      </c:pt>
                      <c:pt idx="615">
                        <c:v>32.086897484492525</c:v>
                      </c:pt>
                      <c:pt idx="616">
                        <c:v>32.15584549063189</c:v>
                      </c:pt>
                      <c:pt idx="617">
                        <c:v>32.224742306478994</c:v>
                      </c:pt>
                      <c:pt idx="618">
                        <c:v>32.293587418329054</c:v>
                      </c:pt>
                      <c:pt idx="619">
                        <c:v>32.362380312477327</c:v>
                      </c:pt>
                      <c:pt idx="620">
                        <c:v>32.431120475219046</c:v>
                      </c:pt>
                      <c:pt idx="621">
                        <c:v>32.499807392849476</c:v>
                      </c:pt>
                      <c:pt idx="622">
                        <c:v>32.568440551663826</c:v>
                      </c:pt>
                      <c:pt idx="623">
                        <c:v>32.637019437957349</c:v>
                      </c:pt>
                      <c:pt idx="624">
                        <c:v>32.705543538025303</c:v>
                      </c:pt>
                      <c:pt idx="625">
                        <c:v>32.774012338162919</c:v>
                      </c:pt>
                      <c:pt idx="626">
                        <c:v>32.842425324665435</c:v>
                      </c:pt>
                      <c:pt idx="627">
                        <c:v>32.910781983828102</c:v>
                      </c:pt>
                      <c:pt idx="628">
                        <c:v>32.979081801946151</c:v>
                      </c:pt>
                      <c:pt idx="629">
                        <c:v>33.047324265314842</c:v>
                      </c:pt>
                      <c:pt idx="630">
                        <c:v>33.115508860229404</c:v>
                      </c:pt>
                      <c:pt idx="631">
                        <c:v>33.183635072985076</c:v>
                      </c:pt>
                      <c:pt idx="632">
                        <c:v>33.25170238987711</c:v>
                      </c:pt>
                      <c:pt idx="633">
                        <c:v>33.31971029720075</c:v>
                      </c:pt>
                      <c:pt idx="634">
                        <c:v>33.387658281251227</c:v>
                      </c:pt>
                      <c:pt idx="635">
                        <c:v>33.455545828323785</c:v>
                      </c:pt>
                      <c:pt idx="636">
                        <c:v>33.523372424713685</c:v>
                      </c:pt>
                      <c:pt idx="637">
                        <c:v>33.591137556716141</c:v>
                      </c:pt>
                      <c:pt idx="638">
                        <c:v>33.658840710626414</c:v>
                      </c:pt>
                      <c:pt idx="639">
                        <c:v>33.726481372739741</c:v>
                      </c:pt>
                      <c:pt idx="640">
                        <c:v>33.794059029351367</c:v>
                      </c:pt>
                      <c:pt idx="641">
                        <c:v>33.861573166756536</c:v>
                      </c:pt>
                      <c:pt idx="642">
                        <c:v>33.929023271250479</c:v>
                      </c:pt>
                      <c:pt idx="643">
                        <c:v>33.996408829128448</c:v>
                      </c:pt>
                      <c:pt idx="644">
                        <c:v>34.063729326685682</c:v>
                      </c:pt>
                      <c:pt idx="645">
                        <c:v>34.130984250217423</c:v>
                      </c:pt>
                      <c:pt idx="646">
                        <c:v>34.198173086018919</c:v>
                      </c:pt>
                      <c:pt idx="647">
                        <c:v>34.265295320385405</c:v>
                      </c:pt>
                      <c:pt idx="648">
                        <c:v>34.332350439612128</c:v>
                      </c:pt>
                      <c:pt idx="649">
                        <c:v>34.399337929994324</c:v>
                      </c:pt>
                      <c:pt idx="650">
                        <c:v>34.466257277827239</c:v>
                      </c:pt>
                      <c:pt idx="651">
                        <c:v>34.533107969406124</c:v>
                      </c:pt>
                      <c:pt idx="652">
                        <c:v>34.599889491026204</c:v>
                      </c:pt>
                      <c:pt idx="653">
                        <c:v>34.666601328982736</c:v>
                      </c:pt>
                      <c:pt idx="654">
                        <c:v>34.733242969570952</c:v>
                      </c:pt>
                      <c:pt idx="655">
                        <c:v>34.799813899086111</c:v>
                      </c:pt>
                      <c:pt idx="656">
                        <c:v>34.866313603823436</c:v>
                      </c:pt>
                      <c:pt idx="657">
                        <c:v>34.932741570078171</c:v>
                      </c:pt>
                      <c:pt idx="658">
                        <c:v>34.99909728414557</c:v>
                      </c:pt>
                      <c:pt idx="659">
                        <c:v>35.065380232320877</c:v>
                      </c:pt>
                      <c:pt idx="660">
                        <c:v>35.131589900899314</c:v>
                      </c:pt>
                      <c:pt idx="661">
                        <c:v>35.197725776176128</c:v>
                      </c:pt>
                      <c:pt idx="662">
                        <c:v>35.263787344446591</c:v>
                      </c:pt>
                      <c:pt idx="663">
                        <c:v>35.329774092005913</c:v>
                      </c:pt>
                      <c:pt idx="664">
                        <c:v>35.395685505149345</c:v>
                      </c:pt>
                      <c:pt idx="665">
                        <c:v>35.461521070172125</c:v>
                      </c:pt>
                      <c:pt idx="666">
                        <c:v>35.527280273369506</c:v>
                      </c:pt>
                      <c:pt idx="667">
                        <c:v>35.592962601036731</c:v>
                      </c:pt>
                      <c:pt idx="668">
                        <c:v>35.658567539469033</c:v>
                      </c:pt>
                      <c:pt idx="669">
                        <c:v>35.724094574961661</c:v>
                      </c:pt>
                      <c:pt idx="670">
                        <c:v>35.789543193809848</c:v>
                      </c:pt>
                      <c:pt idx="671">
                        <c:v>35.854912882308852</c:v>
                      </c:pt>
                      <c:pt idx="672">
                        <c:v>35.920203126753897</c:v>
                      </c:pt>
                      <c:pt idx="673">
                        <c:v>35.985413413440241</c:v>
                      </c:pt>
                      <c:pt idx="674">
                        <c:v>36.050543228663116</c:v>
                      </c:pt>
                      <c:pt idx="675">
                        <c:v>36.115592058717766</c:v>
                      </c:pt>
                      <c:pt idx="676">
                        <c:v>36.180559389899443</c:v>
                      </c:pt>
                      <c:pt idx="677">
                        <c:v>36.245444708503371</c:v>
                      </c:pt>
                      <c:pt idx="678">
                        <c:v>36.310247500824801</c:v>
                      </c:pt>
                      <c:pt idx="679">
                        <c:v>36.374967253158985</c:v>
                      </c:pt>
                      <c:pt idx="680">
                        <c:v>36.439603451801155</c:v>
                      </c:pt>
                      <c:pt idx="681">
                        <c:v>36.504155583046554</c:v>
                      </c:pt>
                      <c:pt idx="682">
                        <c:v>36.568623133190428</c:v>
                      </c:pt>
                      <c:pt idx="683">
                        <c:v>36.633005588528015</c:v>
                      </c:pt>
                      <c:pt idx="684">
                        <c:v>36.697302435354558</c:v>
                      </c:pt>
                      <c:pt idx="685">
                        <c:v>36.761513159965304</c:v>
                      </c:pt>
                      <c:pt idx="686">
                        <c:v>36.825637248655497</c:v>
                      </c:pt>
                      <c:pt idx="687">
                        <c:v>36.88967418772036</c:v>
                      </c:pt>
                      <c:pt idx="688">
                        <c:v>36.953623463455159</c:v>
                      </c:pt>
                      <c:pt idx="689">
                        <c:v>37.017484562155126</c:v>
                      </c:pt>
                      <c:pt idx="690">
                        <c:v>37.081256970115504</c:v>
                      </c:pt>
                      <c:pt idx="691">
                        <c:v>37.144940173631539</c:v>
                      </c:pt>
                      <c:pt idx="692">
                        <c:v>37.208533658998462</c:v>
                      </c:pt>
                      <c:pt idx="693">
                        <c:v>37.272036912511531</c:v>
                      </c:pt>
                      <c:pt idx="694">
                        <c:v>37.33544942046597</c:v>
                      </c:pt>
                      <c:pt idx="695">
                        <c:v>37.398770669157038</c:v>
                      </c:pt>
                      <c:pt idx="696">
                        <c:v>37.462000144879966</c:v>
                      </c:pt>
                      <c:pt idx="697">
                        <c:v>37.525137333930005</c:v>
                      </c:pt>
                      <c:pt idx="698">
                        <c:v>37.5881817226024</c:v>
                      </c:pt>
                      <c:pt idx="699">
                        <c:v>37.651132797192382</c:v>
                      </c:pt>
                      <c:pt idx="700">
                        <c:v>37.713990043995196</c:v>
                      </c:pt>
                      <c:pt idx="701">
                        <c:v>37.776752949306079</c:v>
                      </c:pt>
                      <c:pt idx="702">
                        <c:v>37.839420999420291</c:v>
                      </c:pt>
                      <c:pt idx="703">
                        <c:v>37.901993680633055</c:v>
                      </c:pt>
                      <c:pt idx="704">
                        <c:v>37.96447047923963</c:v>
                      </c:pt>
                      <c:pt idx="705">
                        <c:v>38.026850881535246</c:v>
                      </c:pt>
                      <c:pt idx="706">
                        <c:v>38.089134373815149</c:v>
                      </c:pt>
                      <c:pt idx="707">
                        <c:v>38.151320442374583</c:v>
                      </c:pt>
                      <c:pt idx="708">
                        <c:v>38.213408573508787</c:v>
                      </c:pt>
                      <c:pt idx="709">
                        <c:v>38.275398253513004</c:v>
                      </c:pt>
                      <c:pt idx="710">
                        <c:v>38.337288968682486</c:v>
                      </c:pt>
                      <c:pt idx="711">
                        <c:v>38.399080205312472</c:v>
                      </c:pt>
                      <c:pt idx="712">
                        <c:v>38.460771449698186</c:v>
                      </c:pt>
                      <c:pt idx="713">
                        <c:v>38.522362188134892</c:v>
                      </c:pt>
                      <c:pt idx="714">
                        <c:v>38.583851906917815</c:v>
                      </c:pt>
                      <c:pt idx="715">
                        <c:v>38.645240092342206</c:v>
                      </c:pt>
                      <c:pt idx="716">
                        <c:v>38.706526230703318</c:v>
                      </c:pt>
                      <c:pt idx="717">
                        <c:v>38.767709808296381</c:v>
                      </c:pt>
                      <c:pt idx="718">
                        <c:v>38.828790311416633</c:v>
                      </c:pt>
                      <c:pt idx="719">
                        <c:v>38.889767226359325</c:v>
                      </c:pt>
                      <c:pt idx="720">
                        <c:v>38.950640039419696</c:v>
                      </c:pt>
                      <c:pt idx="721">
                        <c:v>39.01140823689299</c:v>
                      </c:pt>
                      <c:pt idx="722">
                        <c:v>39.072071305074445</c:v>
                      </c:pt>
                      <c:pt idx="723">
                        <c:v>39.132628730259313</c:v>
                      </c:pt>
                      <c:pt idx="724">
                        <c:v>39.193079998742817</c:v>
                      </c:pt>
                      <c:pt idx="725">
                        <c:v>39.253424596820224</c:v>
                      </c:pt>
                      <c:pt idx="726">
                        <c:v>39.313662010786757</c:v>
                      </c:pt>
                      <c:pt idx="727">
                        <c:v>39.373791726937668</c:v>
                      </c:pt>
                      <c:pt idx="728">
                        <c:v>39.433813231568209</c:v>
                      </c:pt>
                      <c:pt idx="729">
                        <c:v>39.493726010973589</c:v>
                      </c:pt>
                      <c:pt idx="730">
                        <c:v>39.553529551449088</c:v>
                      </c:pt>
                      <c:pt idx="731">
                        <c:v>39.613223339289917</c:v>
                      </c:pt>
                      <c:pt idx="732">
                        <c:v>39.672806860791347</c:v>
                      </c:pt>
                      <c:pt idx="733">
                        <c:v>39.732279602248596</c:v>
                      </c:pt>
                      <c:pt idx="734">
                        <c:v>39.791641049956922</c:v>
                      </c:pt>
                      <c:pt idx="735">
                        <c:v>39.850890690211571</c:v>
                      </c:pt>
                      <c:pt idx="736">
                        <c:v>39.910028009307766</c:v>
                      </c:pt>
                      <c:pt idx="737">
                        <c:v>39.969052493540751</c:v>
                      </c:pt>
                      <c:pt idx="738">
                        <c:v>40.027963629205786</c:v>
                      </c:pt>
                      <c:pt idx="739">
                        <c:v>40.086760902598108</c:v>
                      </c:pt>
                      <c:pt idx="740">
                        <c:v>40.145443800012956</c:v>
                      </c:pt>
                      <c:pt idx="741">
                        <c:v>40.204011807745559</c:v>
                      </c:pt>
                      <c:pt idx="742">
                        <c:v>40.262464412091177</c:v>
                      </c:pt>
                      <c:pt idx="743">
                        <c:v>40.320801099345047</c:v>
                      </c:pt>
                      <c:pt idx="744">
                        <c:v>40.379021355802422</c:v>
                      </c:pt>
                      <c:pt idx="745">
                        <c:v>40.437124667758511</c:v>
                      </c:pt>
                      <c:pt idx="746">
                        <c:v>40.495110521508607</c:v>
                      </c:pt>
                      <c:pt idx="747">
                        <c:v>40.552978403347915</c:v>
                      </c:pt>
                      <c:pt idx="748">
                        <c:v>40.610727799571677</c:v>
                      </c:pt>
                      <c:pt idx="749">
                        <c:v>40.668358196475154</c:v>
                      </c:pt>
                      <c:pt idx="750">
                        <c:v>40.725869080353576</c:v>
                      </c:pt>
                      <c:pt idx="751">
                        <c:v>40.78325993750218</c:v>
                      </c:pt>
                      <c:pt idx="752">
                        <c:v>40.840530254216219</c:v>
                      </c:pt>
                      <c:pt idx="753">
                        <c:v>40.897679516790959</c:v>
                      </c:pt>
                      <c:pt idx="754">
                        <c:v>40.95470721152158</c:v>
                      </c:pt>
                      <c:pt idx="755">
                        <c:v>41.011612824703391</c:v>
                      </c:pt>
                      <c:pt idx="756">
                        <c:v>41.068395842631574</c:v>
                      </c:pt>
                      <c:pt idx="757">
                        <c:v>41.125055751601423</c:v>
                      </c:pt>
                      <c:pt idx="758">
                        <c:v>41.181592037908153</c:v>
                      </c:pt>
                      <c:pt idx="759">
                        <c:v>41.238004187847011</c:v>
                      </c:pt>
                      <c:pt idx="760">
                        <c:v>41.29429168771324</c:v>
                      </c:pt>
                      <c:pt idx="761">
                        <c:v>41.350454023802087</c:v>
                      </c:pt>
                      <c:pt idx="762">
                        <c:v>41.406490682408773</c:v>
                      </c:pt>
                      <c:pt idx="763">
                        <c:v>41.462401149828565</c:v>
                      </c:pt>
                      <c:pt idx="764">
                        <c:v>41.518184912356716</c:v>
                      </c:pt>
                      <c:pt idx="765">
                        <c:v>41.573841456288434</c:v>
                      </c:pt>
                      <c:pt idx="766">
                        <c:v>41.629370267918972</c:v>
                      </c:pt>
                      <c:pt idx="767">
                        <c:v>41.684770833543581</c:v>
                      </c:pt>
                      <c:pt idx="768">
                        <c:v>41.740042639457499</c:v>
                      </c:pt>
                      <c:pt idx="769">
                        <c:v>41.795185171955971</c:v>
                      </c:pt>
                      <c:pt idx="770">
                        <c:v>41.850197917334235</c:v>
                      </c:pt>
                      <c:pt idx="771">
                        <c:v>41.905080361887528</c:v>
                      </c:pt>
                      <c:pt idx="772">
                        <c:v>41.959831991911109</c:v>
                      </c:pt>
                      <c:pt idx="773">
                        <c:v>42.014452293700217</c:v>
                      </c:pt>
                      <c:pt idx="774">
                        <c:v>42.068940753550081</c:v>
                      </c:pt>
                      <c:pt idx="775">
                        <c:v>42.123296857755939</c:v>
                      </c:pt>
                      <c:pt idx="776">
                        <c:v>42.177520092613065</c:v>
                      </c:pt>
                      <c:pt idx="777">
                        <c:v>42.231609944416661</c:v>
                      </c:pt>
                      <c:pt idx="778">
                        <c:v>42.285565899462007</c:v>
                      </c:pt>
                      <c:pt idx="779">
                        <c:v>42.339387444044313</c:v>
                      </c:pt>
                      <c:pt idx="780">
                        <c:v>42.393074064458851</c:v>
                      </c:pt>
                      <c:pt idx="781">
                        <c:v>42.446625247000831</c:v>
                      </c:pt>
                      <c:pt idx="782">
                        <c:v>42.500040477965527</c:v>
                      </c:pt>
                      <c:pt idx="783">
                        <c:v>42.553319243648154</c:v>
                      </c:pt>
                      <c:pt idx="784">
                        <c:v>42.606461030343965</c:v>
                      </c:pt>
                      <c:pt idx="785">
                        <c:v>42.659465324348218</c:v>
                      </c:pt>
                      <c:pt idx="786">
                        <c:v>42.712331611956131</c:v>
                      </c:pt>
                      <c:pt idx="787">
                        <c:v>42.765059379462969</c:v>
                      </c:pt>
                      <c:pt idx="788">
                        <c:v>42.817648113163948</c:v>
                      </c:pt>
                      <c:pt idx="789">
                        <c:v>42.870097299354327</c:v>
                      </c:pt>
                      <c:pt idx="790">
                        <c:v>42.92240642432936</c:v>
                      </c:pt>
                      <c:pt idx="791">
                        <c:v>42.974574974384254</c:v>
                      </c:pt>
                      <c:pt idx="792">
                        <c:v>43.026602435814283</c:v>
                      </c:pt>
                      <c:pt idx="793">
                        <c:v>43.078488294914678</c:v>
                      </c:pt>
                      <c:pt idx="794">
                        <c:v>43.13023203798069</c:v>
                      </c:pt>
                      <c:pt idx="795">
                        <c:v>43.181833151307536</c:v>
                      </c:pt>
                      <c:pt idx="796">
                        <c:v>43.233291121190483</c:v>
                      </c:pt>
                      <c:pt idx="797">
                        <c:v>43.28460543392476</c:v>
                      </c:pt>
                      <c:pt idx="798">
                        <c:v>43.335775575805627</c:v>
                      </c:pt>
                      <c:pt idx="799">
                        <c:v>43.386801033128307</c:v>
                      </c:pt>
                      <c:pt idx="800">
                        <c:v>43.437681292188053</c:v>
                      </c:pt>
                      <c:pt idx="801">
                        <c:v>43.488415839280101</c:v>
                      </c:pt>
                      <c:pt idx="802">
                        <c:v>43.539004160699697</c:v>
                      </c:pt>
                      <c:pt idx="803">
                        <c:v>43.589445742742072</c:v>
                      </c:pt>
                      <c:pt idx="804">
                        <c:v>43.639740071702491</c:v>
                      </c:pt>
                      <c:pt idx="805">
                        <c:v>43.689886633876171</c:v>
                      </c:pt>
                      <c:pt idx="806">
                        <c:v>43.739884915558392</c:v>
                      </c:pt>
                      <c:pt idx="807">
                        <c:v>43.789734403044342</c:v>
                      </c:pt>
                      <c:pt idx="808">
                        <c:v>43.839434582629316</c:v>
                      </c:pt>
                      <c:pt idx="809">
                        <c:v>43.888984940608516</c:v>
                      </c:pt>
                      <c:pt idx="810">
                        <c:v>43.938384963277215</c:v>
                      </c:pt>
                      <c:pt idx="811">
                        <c:v>43.98763413693063</c:v>
                      </c:pt>
                      <c:pt idx="812">
                        <c:v>44.036731947864027</c:v>
                      </c:pt>
                      <c:pt idx="813">
                        <c:v>44.085677882372629</c:v>
                      </c:pt>
                      <c:pt idx="814">
                        <c:v>44.134471426751681</c:v>
                      </c:pt>
                      <c:pt idx="815">
                        <c:v>44.183112067296427</c:v>
                      </c:pt>
                      <c:pt idx="816">
                        <c:v>44.231599290302128</c:v>
                      </c:pt>
                      <c:pt idx="817">
                        <c:v>44.279932582063999</c:v>
                      </c:pt>
                      <c:pt idx="818">
                        <c:v>44.3281114288773</c:v>
                      </c:pt>
                      <c:pt idx="819">
                        <c:v>44.376135317037267</c:v>
                      </c:pt>
                      <c:pt idx="820">
                        <c:v>44.424003732839125</c:v>
                      </c:pt>
                      <c:pt idx="821">
                        <c:v>44.471716162578154</c:v>
                      </c:pt>
                      <c:pt idx="822">
                        <c:v>44.519272092549571</c:v>
                      </c:pt>
                      <c:pt idx="823">
                        <c:v>44.566671009048619</c:v>
                      </c:pt>
                      <c:pt idx="824">
                        <c:v>44.613912398370545</c:v>
                      </c:pt>
                      <c:pt idx="825">
                        <c:v>44.660995746810592</c:v>
                      </c:pt>
                      <c:pt idx="826">
                        <c:v>44.707920540663991</c:v>
                      </c:pt>
                      <c:pt idx="827">
                        <c:v>44.754686266226003</c:v>
                      </c:pt>
                      <c:pt idx="828">
                        <c:v>44.80129240979187</c:v>
                      </c:pt>
                      <c:pt idx="829">
                        <c:v>44.84773845765681</c:v>
                      </c:pt>
                      <c:pt idx="830">
                        <c:v>44.894023896116089</c:v>
                      </c:pt>
                      <c:pt idx="831">
                        <c:v>44.940148211464944</c:v>
                      </c:pt>
                      <c:pt idx="832">
                        <c:v>44.986110889998606</c:v>
                      </c:pt>
                      <c:pt idx="833">
                        <c:v>45.031911418012342</c:v>
                      </c:pt>
                      <c:pt idx="834">
                        <c:v>45.077549281801367</c:v>
                      </c:pt>
                      <c:pt idx="835">
                        <c:v>45.123023967660927</c:v>
                      </c:pt>
                      <c:pt idx="836">
                        <c:v>45.168334961886281</c:v>
                      </c:pt>
                      <c:pt idx="837">
                        <c:v>45.213481750772658</c:v>
                      </c:pt>
                      <c:pt idx="838">
                        <c:v>45.258463820615304</c:v>
                      </c:pt>
                      <c:pt idx="839">
                        <c:v>45.303280657709458</c:v>
                      </c:pt>
                      <c:pt idx="840">
                        <c:v>45.347931748350376</c:v>
                      </c:pt>
                      <c:pt idx="841">
                        <c:v>45.392416578833284</c:v>
                      </c:pt>
                      <c:pt idx="842">
                        <c:v>45.436734635453433</c:v>
                      </c:pt>
                      <c:pt idx="843">
                        <c:v>45.480885404506061</c:v>
                      </c:pt>
                      <c:pt idx="844">
                        <c:v>45.52486837228642</c:v>
                      </c:pt>
                      <c:pt idx="845">
                        <c:v>45.568683025089733</c:v>
                      </c:pt>
                      <c:pt idx="846">
                        <c:v>45.612328849211252</c:v>
                      </c:pt>
                      <c:pt idx="847">
                        <c:v>45.65580533094623</c:v>
                      </c:pt>
                      <c:pt idx="848">
                        <c:v>45.699111956589896</c:v>
                      </c:pt>
                      <c:pt idx="849">
                        <c:v>45.742248212437502</c:v>
                      </c:pt>
                      <c:pt idx="850">
                        <c:v>45.78521358478428</c:v>
                      </c:pt>
                      <c:pt idx="851">
                        <c:v>45.828007559925467</c:v>
                      </c:pt>
                      <c:pt idx="852">
                        <c:v>45.870629624156322</c:v>
                      </c:pt>
                      <c:pt idx="853">
                        <c:v>45.91307926377209</c:v>
                      </c:pt>
                      <c:pt idx="854">
                        <c:v>45.955355965067987</c:v>
                      </c:pt>
                      <c:pt idx="855">
                        <c:v>45.997459214339294</c:v>
                      </c:pt>
                      <c:pt idx="856">
                        <c:v>46.03938849788122</c:v>
                      </c:pt>
                      <c:pt idx="857">
                        <c:v>46.081143301989016</c:v>
                      </c:pt>
                      <c:pt idx="858">
                        <c:v>46.122723112957928</c:v>
                      </c:pt>
                      <c:pt idx="859">
                        <c:v>46.164127417083193</c:v>
                      </c:pt>
                      <c:pt idx="860">
                        <c:v>46.205355700660071</c:v>
                      </c:pt>
                      <c:pt idx="861">
                        <c:v>46.246407449983778</c:v>
                      </c:pt>
                      <c:pt idx="862">
                        <c:v>46.287282151349572</c:v>
                      </c:pt>
                      <c:pt idx="863">
                        <c:v>46.327979291052685</c:v>
                      </c:pt>
                      <c:pt idx="864">
                        <c:v>46.368498355388382</c:v>
                      </c:pt>
                      <c:pt idx="865">
                        <c:v>46.408838830651888</c:v>
                      </c:pt>
                      <c:pt idx="866">
                        <c:v>46.449000203138446</c:v>
                      </c:pt>
                      <c:pt idx="867">
                        <c:v>46.488981959143295</c:v>
                      </c:pt>
                      <c:pt idx="868">
                        <c:v>46.52878358496168</c:v>
                      </c:pt>
                      <c:pt idx="869">
                        <c:v>46.568404566888859</c:v>
                      </c:pt>
                      <c:pt idx="870">
                        <c:v>46.607844391220034</c:v>
                      </c:pt>
                      <c:pt idx="871">
                        <c:v>46.647102544250494</c:v>
                      </c:pt>
                      <c:pt idx="872">
                        <c:v>46.686178512275454</c:v>
                      </c:pt>
                      <c:pt idx="873">
                        <c:v>46.725071781590174</c:v>
                      </c:pt>
                      <c:pt idx="874">
                        <c:v>46.763781838489876</c:v>
                      </c:pt>
                      <c:pt idx="875">
                        <c:v>46.8023081692698</c:v>
                      </c:pt>
                      <c:pt idx="876">
                        <c:v>46.840650260225217</c:v>
                      </c:pt>
                      <c:pt idx="877">
                        <c:v>46.878807597651353</c:v>
                      </c:pt>
                      <c:pt idx="878">
                        <c:v>46.916779667843443</c:v>
                      </c:pt>
                      <c:pt idx="879">
                        <c:v>46.954565957096733</c:v>
                      </c:pt>
                      <c:pt idx="880">
                        <c:v>46.992165951706482</c:v>
                      </c:pt>
                      <c:pt idx="881">
                        <c:v>47.029579137967914</c:v>
                      </c:pt>
                      <c:pt idx="882">
                        <c:v>47.066805002176267</c:v>
                      </c:pt>
                      <c:pt idx="883">
                        <c:v>47.103843030626791</c:v>
                      </c:pt>
                      <c:pt idx="884">
                        <c:v>47.14069270961474</c:v>
                      </c:pt>
                      <c:pt idx="885">
                        <c:v>47.177353525435343</c:v>
                      </c:pt>
                      <c:pt idx="886">
                        <c:v>47.213824964383846</c:v>
                      </c:pt>
                      <c:pt idx="887">
                        <c:v>47.25010651275548</c:v>
                      </c:pt>
                      <c:pt idx="888">
                        <c:v>47.286197656845509</c:v>
                      </c:pt>
                      <c:pt idx="889">
                        <c:v>47.322097882949151</c:v>
                      </c:pt>
                      <c:pt idx="890">
                        <c:v>47.35780667736168</c:v>
                      </c:pt>
                      <c:pt idx="891">
                        <c:v>47.393323526378296</c:v>
                      </c:pt>
                      <c:pt idx="892">
                        <c:v>47.428647916294288</c:v>
                      </c:pt>
                      <c:pt idx="893">
                        <c:v>47.463779333404851</c:v>
                      </c:pt>
                      <c:pt idx="894">
                        <c:v>47.498717264005272</c:v>
                      </c:pt>
                      <c:pt idx="895">
                        <c:v>47.533461194390767</c:v>
                      </c:pt>
                      <c:pt idx="896">
                        <c:v>47.568010610856575</c:v>
                      </c:pt>
                      <c:pt idx="897">
                        <c:v>47.602364999697961</c:v>
                      </c:pt>
                      <c:pt idx="898">
                        <c:v>47.636523847210142</c:v>
                      </c:pt>
                      <c:pt idx="899">
                        <c:v>47.670486639688377</c:v>
                      </c:pt>
                      <c:pt idx="900">
                        <c:v>47.704252863427911</c:v>
                      </c:pt>
                      <c:pt idx="901">
                        <c:v>47.737822004723959</c:v>
                      </c:pt>
                      <c:pt idx="902">
                        <c:v>47.771193549871796</c:v>
                      </c:pt>
                      <c:pt idx="903">
                        <c:v>47.804366985166652</c:v>
                      </c:pt>
                      <c:pt idx="904">
                        <c:v>47.837341796903758</c:v>
                      </c:pt>
                      <c:pt idx="905">
                        <c:v>47.870117471378364</c:v>
                      </c:pt>
                      <c:pt idx="906">
                        <c:v>47.902693494885732</c:v>
                      </c:pt>
                      <c:pt idx="907">
                        <c:v>47.935069353721076</c:v>
                      </c:pt>
                      <c:pt idx="908">
                        <c:v>47.967244534179656</c:v>
                      </c:pt>
                      <c:pt idx="909">
                        <c:v>47.999218522556696</c:v>
                      </c:pt>
                      <c:pt idx="910">
                        <c:v>48.030990805147454</c:v>
                      </c:pt>
                      <c:pt idx="911">
                        <c:v>48.062560868247175</c:v>
                      </c:pt>
                      <c:pt idx="912">
                        <c:v>48.09392819815109</c:v>
                      </c:pt>
                      <c:pt idx="913">
                        <c:v>48.125092281154437</c:v>
                      </c:pt>
                      <c:pt idx="914">
                        <c:v>48.156052603552475</c:v>
                      </c:pt>
                      <c:pt idx="915">
                        <c:v>48.18680865164044</c:v>
                      </c:pt>
                      <c:pt idx="916">
                        <c:v>48.217359911713572</c:v>
                      </c:pt>
                      <c:pt idx="917">
                        <c:v>48.247705870067115</c:v>
                      </c:pt>
                      <c:pt idx="918">
                        <c:v>48.277846012996307</c:v>
                      </c:pt>
                      <c:pt idx="919">
                        <c:v>48.307779826796398</c:v>
                      </c:pt>
                      <c:pt idx="920">
                        <c:v>48.337506797762614</c:v>
                      </c:pt>
                      <c:pt idx="921">
                        <c:v>48.367026412190221</c:v>
                      </c:pt>
                      <c:pt idx="922">
                        <c:v>48.396338156374448</c:v>
                      </c:pt>
                      <c:pt idx="923">
                        <c:v>48.425441516610526</c:v>
                      </c:pt>
                      <c:pt idx="924">
                        <c:v>48.454335979193722</c:v>
                      </c:pt>
                      <c:pt idx="925">
                        <c:v>48.483021030419266</c:v>
                      </c:pt>
                      <c:pt idx="926">
                        <c:v>48.511496156582389</c:v>
                      </c:pt>
                      <c:pt idx="927">
                        <c:v>48.539760843978364</c:v>
                      </c:pt>
                      <c:pt idx="928">
                        <c:v>48.5678145789024</c:v>
                      </c:pt>
                      <c:pt idx="929">
                        <c:v>48.595656847649749</c:v>
                      </c:pt>
                      <c:pt idx="930">
                        <c:v>48.623287136515671</c:v>
                      </c:pt>
                      <c:pt idx="931">
                        <c:v>48.650704931795389</c:v>
                      </c:pt>
                      <c:pt idx="932">
                        <c:v>48.677909719784139</c:v>
                      </c:pt>
                      <c:pt idx="933">
                        <c:v>48.70490098677719</c:v>
                      </c:pt>
                      <c:pt idx="934">
                        <c:v>48.731678219069771</c:v>
                      </c:pt>
                      <c:pt idx="935">
                        <c:v>48.758240902957127</c:v>
                      </c:pt>
                      <c:pt idx="936">
                        <c:v>48.784588524734481</c:v>
                      </c:pt>
                      <c:pt idx="937">
                        <c:v>48.8107205706971</c:v>
                      </c:pt>
                      <c:pt idx="938">
                        <c:v>48.836636527140215</c:v>
                      </c:pt>
                      <c:pt idx="939">
                        <c:v>48.862335880359069</c:v>
                      </c:pt>
                      <c:pt idx="940">
                        <c:v>48.887818116648909</c:v>
                      </c:pt>
                      <c:pt idx="941">
                        <c:v>48.913082722304964</c:v>
                      </c:pt>
                      <c:pt idx="942">
                        <c:v>48.938129183622486</c:v>
                      </c:pt>
                      <c:pt idx="943">
                        <c:v>48.962956986896728</c:v>
                      </c:pt>
                      <c:pt idx="944">
                        <c:v>48.98756561842292</c:v>
                      </c:pt>
                      <c:pt idx="945">
                        <c:v>49.0119545644963</c:v>
                      </c:pt>
                      <c:pt idx="946">
                        <c:v>49.036123311412119</c:v>
                      </c:pt>
                      <c:pt idx="947">
                        <c:v>49.060071345465616</c:v>
                      </c:pt>
                      <c:pt idx="948">
                        <c:v>49.083798152952028</c:v>
                      </c:pt>
                      <c:pt idx="949">
                        <c:v>49.107303220166614</c:v>
                      </c:pt>
                      <c:pt idx="950">
                        <c:v>49.130586033404597</c:v>
                      </c:pt>
                      <c:pt idx="951">
                        <c:v>49.153646078961224</c:v>
                      </c:pt>
                      <c:pt idx="952">
                        <c:v>49.176482843131758</c:v>
                      </c:pt>
                      <c:pt idx="953">
                        <c:v>49.199095812211411</c:v>
                      </c:pt>
                      <c:pt idx="954">
                        <c:v>49.221484472495433</c:v>
                      </c:pt>
                      <c:pt idx="955">
                        <c:v>49.243648310279085</c:v>
                      </c:pt>
                      <c:pt idx="956">
                        <c:v>49.265586811857588</c:v>
                      </c:pt>
                      <c:pt idx="957">
                        <c:v>49.287299463526196</c:v>
                      </c:pt>
                      <c:pt idx="958">
                        <c:v>49.308785751580146</c:v>
                      </c:pt>
                      <c:pt idx="959">
                        <c:v>49.330045162314676</c:v>
                      </c:pt>
                      <c:pt idx="960">
                        <c:v>49.351077182025037</c:v>
                      </c:pt>
                      <c:pt idx="961">
                        <c:v>49.371881297006482</c:v>
                      </c:pt>
                      <c:pt idx="962">
                        <c:v>49.392456993554219</c:v>
                      </c:pt>
                      <c:pt idx="963">
                        <c:v>49.412803757963516</c:v>
                      </c:pt>
                      <c:pt idx="964">
                        <c:v>49.432921076529624</c:v>
                      </c:pt>
                      <c:pt idx="965">
                        <c:v>49.452808435547759</c:v>
                      </c:pt>
                      <c:pt idx="966">
                        <c:v>49.47246532131318</c:v>
                      </c:pt>
                      <c:pt idx="967">
                        <c:v>49.491891220121119</c:v>
                      </c:pt>
                      <c:pt idx="968">
                        <c:v>49.511085618266826</c:v>
                      </c:pt>
                      <c:pt idx="969">
                        <c:v>49.530048002045547</c:v>
                      </c:pt>
                      <c:pt idx="970">
                        <c:v>49.548777857752512</c:v>
                      </c:pt>
                      <c:pt idx="971">
                        <c:v>49.567274671682981</c:v>
                      </c:pt>
                      <c:pt idx="972">
                        <c:v>49.585537930132176</c:v>
                      </c:pt>
                      <c:pt idx="973">
                        <c:v>49.603567119395358</c:v>
                      </c:pt>
                      <c:pt idx="974">
                        <c:v>49.621361725767756</c:v>
                      </c:pt>
                      <c:pt idx="975">
                        <c:v>49.638921235544615</c:v>
                      </c:pt>
                      <c:pt idx="976">
                        <c:v>49.656245135021166</c:v>
                      </c:pt>
                      <c:pt idx="977">
                        <c:v>49.673332910492682</c:v>
                      </c:pt>
                      <c:pt idx="978">
                        <c:v>49.69018404825438</c:v>
                      </c:pt>
                      <c:pt idx="979">
                        <c:v>49.706798034601512</c:v>
                      </c:pt>
                      <c:pt idx="980">
                        <c:v>49.723174355829315</c:v>
                      </c:pt>
                      <c:pt idx="981">
                        <c:v>49.739312498233033</c:v>
                      </c:pt>
                      <c:pt idx="982">
                        <c:v>49.75521194810792</c:v>
                      </c:pt>
                      <c:pt idx="983">
                        <c:v>49.770872191749191</c:v>
                      </c:pt>
                      <c:pt idx="984">
                        <c:v>49.78629271545212</c:v>
                      </c:pt>
                      <c:pt idx="985">
                        <c:v>49.801473005511923</c:v>
                      </c:pt>
                      <c:pt idx="986">
                        <c:v>49.816412548223859</c:v>
                      </c:pt>
                      <c:pt idx="987">
                        <c:v>49.831110829883166</c:v>
                      </c:pt>
                      <c:pt idx="988">
                        <c:v>49.845567336785081</c:v>
                      </c:pt>
                      <c:pt idx="989">
                        <c:v>49.859781555224849</c:v>
                      </c:pt>
                      <c:pt idx="990">
                        <c:v>49.873752971497716</c:v>
                      </c:pt>
                      <c:pt idx="991">
                        <c:v>49.887481071898925</c:v>
                      </c:pt>
                      <c:pt idx="992">
                        <c:v>49.900965342723708</c:v>
                      </c:pt>
                      <c:pt idx="993">
                        <c:v>49.914205270267324</c:v>
                      </c:pt>
                      <c:pt idx="994">
                        <c:v>49.927200340825003</c:v>
                      </c:pt>
                      <c:pt idx="995">
                        <c:v>49.939950040691983</c:v>
                      </c:pt>
                      <c:pt idx="996">
                        <c:v>49.952453856163515</c:v>
                      </c:pt>
                      <c:pt idx="997">
                        <c:v>49.964711273534846</c:v>
                      </c:pt>
                      <c:pt idx="998">
                        <c:v>49.976721779101211</c:v>
                      </c:pt>
                      <c:pt idx="999">
                        <c:v>49.98848485915785</c:v>
                      </c:pt>
                      <c:pt idx="1000">
                        <c:v>50.000000000000007</c:v>
                      </c:pt>
                    </c:numCache>
                  </c:numRef>
                </c:xVal>
                <c:yVal>
                  <c:numRef>
                    <c:extLst>
                      <c:ext uri="{02D57815-91ED-43cb-92C2-25804820EDAC}">
                        <c15:formulaRef>
                          <c15:sqref>Sheet1!$J$8:$J$1058</c15:sqref>
                        </c15:formulaRef>
                      </c:ext>
                    </c:extLst>
                    <c:numCache>
                      <c:formatCode>General</c:formatCode>
                      <c:ptCount val="1051"/>
                      <c:pt idx="0">
                        <c:v>0</c:v>
                      </c:pt>
                      <c:pt idx="1">
                        <c:v>2.351102099344484E-4</c:v>
                      </c:pt>
                      <c:pt idx="2">
                        <c:v>4.9014222936935635E-4</c:v>
                      </c:pt>
                      <c:pt idx="3">
                        <c:v>7.6505568366474911E-4</c:v>
                      </c:pt>
                      <c:pt idx="4">
                        <c:v>1.059810198180652E-3</c:v>
                      </c:pt>
                      <c:pt idx="5">
                        <c:v>1.3743653982770899E-3</c:v>
                      </c:pt>
                      <c:pt idx="6">
                        <c:v>1.7086809093140882E-3</c:v>
                      </c:pt>
                      <c:pt idx="7">
                        <c:v>2.0627163566516722E-3</c:v>
                      </c:pt>
                      <c:pt idx="8">
                        <c:v>2.436431365649866E-3</c:v>
                      </c:pt>
                      <c:pt idx="9">
                        <c:v>2.8297855616686973E-3</c:v>
                      </c:pt>
                      <c:pt idx="10">
                        <c:v>3.2427385700681891E-3</c:v>
                      </c:pt>
                      <c:pt idx="11">
                        <c:v>3.6752500162083677E-3</c:v>
                      </c:pt>
                      <c:pt idx="12">
                        <c:v>4.1272795254492572E-3</c:v>
                      </c:pt>
                      <c:pt idx="13">
                        <c:v>4.5987867231508835E-3</c:v>
                      </c:pt>
                      <c:pt idx="14">
                        <c:v>5.0897312346732714E-3</c:v>
                      </c:pt>
                      <c:pt idx="15">
                        <c:v>5.6000726853764476E-3</c:v>
                      </c:pt>
                      <c:pt idx="16">
                        <c:v>6.1297707006204355E-3</c:v>
                      </c:pt>
                      <c:pt idx="17">
                        <c:v>6.6787849057652606E-3</c:v>
                      </c:pt>
                      <c:pt idx="18">
                        <c:v>7.247074926170949E-3</c:v>
                      </c:pt>
                      <c:pt idx="19">
                        <c:v>7.8346003871975246E-3</c:v>
                      </c:pt>
                      <c:pt idx="20">
                        <c:v>8.4413209142050125E-3</c:v>
                      </c:pt>
                      <c:pt idx="21">
                        <c:v>9.06719613255344E-3</c:v>
                      </c:pt>
                      <c:pt idx="22">
                        <c:v>9.7121856676028306E-3</c:v>
                      </c:pt>
                      <c:pt idx="23">
                        <c:v>1.0376249144713209E-2</c:v>
                      </c:pt>
                      <c:pt idx="24">
                        <c:v>1.1059346189244602E-2</c:v>
                      </c:pt>
                      <c:pt idx="25">
                        <c:v>1.1761436426557035E-2</c:v>
                      </c:pt>
                      <c:pt idx="26">
                        <c:v>1.2482479482010528E-2</c:v>
                      </c:pt>
                      <c:pt idx="27">
                        <c:v>1.3222434980965115E-2</c:v>
                      </c:pt>
                      <c:pt idx="28">
                        <c:v>1.3981262548780815E-2</c:v>
                      </c:pt>
                      <c:pt idx="29">
                        <c:v>1.4758921810817656E-2</c:v>
                      </c:pt>
                      <c:pt idx="30">
                        <c:v>1.5555372392435658E-2</c:v>
                      </c:pt>
                      <c:pt idx="31">
                        <c:v>1.6370573918994852E-2</c:v>
                      </c:pt>
                      <c:pt idx="32">
                        <c:v>1.7204486015855266E-2</c:v>
                      </c:pt>
                      <c:pt idx="33">
                        <c:v>1.8057068308376913E-2</c:v>
                      </c:pt>
                      <c:pt idx="34">
                        <c:v>1.8928280421919831E-2</c:v>
                      </c:pt>
                      <c:pt idx="35">
                        <c:v>1.9818081981844038E-2</c:v>
                      </c:pt>
                      <c:pt idx="36">
                        <c:v>2.0726432613509562E-2</c:v>
                      </c:pt>
                      <c:pt idx="37">
                        <c:v>2.1653291942276425E-2</c:v>
                      </c:pt>
                      <c:pt idx="38">
                        <c:v>2.2598619593504659E-2</c:v>
                      </c:pt>
                      <c:pt idx="39">
                        <c:v>2.3562375192554275E-2</c:v>
                      </c:pt>
                      <c:pt idx="40">
                        <c:v>2.4544518364785314E-2</c:v>
                      </c:pt>
                      <c:pt idx="41">
                        <c:v>2.55450087355578E-2</c:v>
                      </c:pt>
                      <c:pt idx="42">
                        <c:v>2.6563805930231742E-2</c:v>
                      </c:pt>
                      <c:pt idx="43">
                        <c:v>2.760086957416719E-2</c:v>
                      </c:pt>
                      <c:pt idx="44">
                        <c:v>2.8656159292724147E-2</c:v>
                      </c:pt>
                      <c:pt idx="45">
                        <c:v>2.9729634711262644E-2</c:v>
                      </c:pt>
                      <c:pt idx="46">
                        <c:v>3.0821255455142714E-2</c:v>
                      </c:pt>
                      <c:pt idx="47">
                        <c:v>3.1930981149724376E-2</c:v>
                      </c:pt>
                      <c:pt idx="48">
                        <c:v>3.3058771420367658E-2</c:v>
                      </c:pt>
                      <c:pt idx="49">
                        <c:v>3.4204585892432582E-2</c:v>
                      </c:pt>
                      <c:pt idx="50">
                        <c:v>3.5368384191279176E-2</c:v>
                      </c:pt>
                      <c:pt idx="51">
                        <c:v>3.6550125942267461E-2</c:v>
                      </c:pt>
                      <c:pt idx="52">
                        <c:v>3.7749770770757467E-2</c:v>
                      </c:pt>
                      <c:pt idx="53">
                        <c:v>3.8967278302109221E-2</c:v>
                      </c:pt>
                      <c:pt idx="54">
                        <c:v>4.0202608161682737E-2</c:v>
                      </c:pt>
                      <c:pt idx="55">
                        <c:v>4.1455719974838053E-2</c:v>
                      </c:pt>
                      <c:pt idx="56">
                        <c:v>4.272657336693518E-2</c:v>
                      </c:pt>
                      <c:pt idx="57">
                        <c:v>4.4015127963334157E-2</c:v>
                      </c:pt>
                      <c:pt idx="58">
                        <c:v>4.5321343389395016E-2</c:v>
                      </c:pt>
                      <c:pt idx="59">
                        <c:v>4.664517927047776E-2</c:v>
                      </c:pt>
                      <c:pt idx="60">
                        <c:v>4.7986595231942424E-2</c:v>
                      </c:pt>
                      <c:pt idx="61">
                        <c:v>4.9345550899149035E-2</c:v>
                      </c:pt>
                      <c:pt idx="62">
                        <c:v>5.0722005897457616E-2</c:v>
                      </c:pt>
                      <c:pt idx="63">
                        <c:v>5.2115919852228181E-2</c:v>
                      </c:pt>
                      <c:pt idx="64">
                        <c:v>5.3527252388820792E-2</c:v>
                      </c:pt>
                      <c:pt idx="65">
                        <c:v>5.4955963132595424E-2</c:v>
                      </c:pt>
                      <c:pt idx="66">
                        <c:v>5.6402011708912146E-2</c:v>
                      </c:pt>
                      <c:pt idx="67">
                        <c:v>5.7865357743130959E-2</c:v>
                      </c:pt>
                      <c:pt idx="68">
                        <c:v>5.9345960860611897E-2</c:v>
                      </c:pt>
                      <c:pt idx="69">
                        <c:v>6.0843780686714984E-2</c:v>
                      </c:pt>
                      <c:pt idx="70">
                        <c:v>6.2358776846800239E-2</c:v>
                      </c:pt>
                      <c:pt idx="71">
                        <c:v>6.3890908966227705E-2</c:v>
                      </c:pt>
                      <c:pt idx="72">
                        <c:v>6.5440136670357363E-2</c:v>
                      </c:pt>
                      <c:pt idx="73">
                        <c:v>6.7006419584549295E-2</c:v>
                      </c:pt>
                      <c:pt idx="74">
                        <c:v>6.8589717334163497E-2</c:v>
                      </c:pt>
                      <c:pt idx="75">
                        <c:v>7.0189989544559989E-2</c:v>
                      </c:pt>
                      <c:pt idx="76">
                        <c:v>7.180719584109882E-2</c:v>
                      </c:pt>
                      <c:pt idx="77">
                        <c:v>7.344129584913997E-2</c:v>
                      </c:pt>
                      <c:pt idx="78">
                        <c:v>7.5092249194043517E-2</c:v>
                      </c:pt>
                      <c:pt idx="79">
                        <c:v>7.6760015501169468E-2</c:v>
                      </c:pt>
                      <c:pt idx="80">
                        <c:v>7.844455439587783E-2</c:v>
                      </c:pt>
                      <c:pt idx="81">
                        <c:v>8.0145825503528653E-2</c:v>
                      </c:pt>
                      <c:pt idx="82">
                        <c:v>8.1863788449481931E-2</c:v>
                      </c:pt>
                      <c:pt idx="83">
                        <c:v>8.359840285909774E-2</c:v>
                      </c:pt>
                      <c:pt idx="84">
                        <c:v>8.5349628357736046E-2</c:v>
                      </c:pt>
                      <c:pt idx="85">
                        <c:v>8.7117424570756913E-2</c:v>
                      </c:pt>
                      <c:pt idx="86">
                        <c:v>8.8901751123520362E-2</c:v>
                      </c:pt>
                      <c:pt idx="87">
                        <c:v>9.07025676413864E-2</c:v>
                      </c:pt>
                      <c:pt idx="88">
                        <c:v>9.2519833749715077E-2</c:v>
                      </c:pt>
                      <c:pt idx="89">
                        <c:v>9.4353509073866387E-2</c:v>
                      </c:pt>
                      <c:pt idx="90">
                        <c:v>9.6203553239200379E-2</c:v>
                      </c:pt>
                      <c:pt idx="91">
                        <c:v>9.8069925871077088E-2</c:v>
                      </c:pt>
                      <c:pt idx="92">
                        <c:v>9.9952586594856521E-2</c:v>
                      </c:pt>
                      <c:pt idx="93">
                        <c:v>0.10185149503589869</c:v>
                      </c:pt>
                      <c:pt idx="94">
                        <c:v>0.10376661081956363</c:v>
                      </c:pt>
                      <c:pt idx="95">
                        <c:v>0.1056978935712114</c:v>
                      </c:pt>
                      <c:pt idx="96">
                        <c:v>0.10764530291620199</c:v>
                      </c:pt>
                      <c:pt idx="97">
                        <c:v>0.10960879847989541</c:v>
                      </c:pt>
                      <c:pt idx="98">
                        <c:v>0.11158833988765174</c:v>
                      </c:pt>
                      <c:pt idx="99">
                        <c:v>0.11358388676483096</c:v>
                      </c:pt>
                      <c:pt idx="100">
                        <c:v>0.1155953987367931</c:v>
                      </c:pt>
                      <c:pt idx="101">
                        <c:v>0.11762283542889819</c:v>
                      </c:pt>
                      <c:pt idx="102">
                        <c:v>0.11966615646650626</c:v>
                      </c:pt>
                      <c:pt idx="103">
                        <c:v>0.12172532147497733</c:v>
                      </c:pt>
                      <c:pt idx="104">
                        <c:v>0.12380029007967146</c:v>
                      </c:pt>
                      <c:pt idx="105">
                        <c:v>0.12589102190594861</c:v>
                      </c:pt>
                      <c:pt idx="106">
                        <c:v>0.12799747657916885</c:v>
                      </c:pt>
                      <c:pt idx="107">
                        <c:v>0.13011961372469219</c:v>
                      </c:pt>
                      <c:pt idx="108">
                        <c:v>0.13225739296787867</c:v>
                      </c:pt>
                      <c:pt idx="109">
                        <c:v>0.13441077393408829</c:v>
                      </c:pt>
                      <c:pt idx="110">
                        <c:v>0.13657971624868115</c:v>
                      </c:pt>
                      <c:pt idx="111">
                        <c:v>0.13876417953701717</c:v>
                      </c:pt>
                      <c:pt idx="112">
                        <c:v>0.14096412342445638</c:v>
                      </c:pt>
                      <c:pt idx="113">
                        <c:v>0.14317950753635889</c:v>
                      </c:pt>
                      <c:pt idx="114">
                        <c:v>0.14541029149808465</c:v>
                      </c:pt>
                      <c:pt idx="115">
                        <c:v>0.14765643493499375</c:v>
                      </c:pt>
                      <c:pt idx="116">
                        <c:v>0.14991789747244619</c:v>
                      </c:pt>
                      <c:pt idx="117">
                        <c:v>0.152194638735802</c:v>
                      </c:pt>
                      <c:pt idx="118">
                        <c:v>0.15448661835042113</c:v>
                      </c:pt>
                      <c:pt idx="119">
                        <c:v>0.15679379594166371</c:v>
                      </c:pt>
                      <c:pt idx="120">
                        <c:v>0.1591161311348897</c:v>
                      </c:pt>
                      <c:pt idx="121">
                        <c:v>0.16145358355545913</c:v>
                      </c:pt>
                      <c:pt idx="122">
                        <c:v>0.16380611282873206</c:v>
                      </c:pt>
                      <c:pt idx="123">
                        <c:v>0.16617367858006851</c:v>
                      </c:pt>
                      <c:pt idx="124">
                        <c:v>0.1685562404348285</c:v>
                      </c:pt>
                      <c:pt idx="125">
                        <c:v>0.17095375801837198</c:v>
                      </c:pt>
                      <c:pt idx="126">
                        <c:v>0.17336619095605915</c:v>
                      </c:pt>
                      <c:pt idx="127">
                        <c:v>0.17579349887324988</c:v>
                      </c:pt>
                      <c:pt idx="128">
                        <c:v>0.17823564139530423</c:v>
                      </c:pt>
                      <c:pt idx="129">
                        <c:v>0.18069257814758224</c:v>
                      </c:pt>
                      <c:pt idx="130">
                        <c:v>0.18316426875544395</c:v>
                      </c:pt>
                      <c:pt idx="131">
                        <c:v>0.18565067284424935</c:v>
                      </c:pt>
                      <c:pt idx="132">
                        <c:v>0.1881517500393585</c:v>
                      </c:pt>
                      <c:pt idx="133">
                        <c:v>0.19066745996613141</c:v>
                      </c:pt>
                      <c:pt idx="134">
                        <c:v>0.1931977622499281</c:v>
                      </c:pt>
                      <c:pt idx="135">
                        <c:v>0.19574261651610858</c:v>
                      </c:pt>
                      <c:pt idx="136">
                        <c:v>0.19830198239003291</c:v>
                      </c:pt>
                      <c:pt idx="137">
                        <c:v>0.20087581949706113</c:v>
                      </c:pt>
                      <c:pt idx="138">
                        <c:v>0.20346408746255323</c:v>
                      </c:pt>
                      <c:pt idx="139">
                        <c:v>0.20606674591186919</c:v>
                      </c:pt>
                      <c:pt idx="140">
                        <c:v>0.20868375447036913</c:v>
                      </c:pt>
                      <c:pt idx="141">
                        <c:v>0.21131507276341299</c:v>
                      </c:pt>
                      <c:pt idx="142">
                        <c:v>0.21396066041636089</c:v>
                      </c:pt>
                      <c:pt idx="143">
                        <c:v>0.21662047705457277</c:v>
                      </c:pt>
                      <c:pt idx="144">
                        <c:v>0.2192944823034087</c:v>
                      </c:pt>
                      <c:pt idx="145">
                        <c:v>0.22198263578822869</c:v>
                      </c:pt>
                      <c:pt idx="146">
                        <c:v>0.22468489713439274</c:v>
                      </c:pt>
                      <c:pt idx="147">
                        <c:v>0.22740122596726092</c:v>
                      </c:pt>
                      <c:pt idx="148">
                        <c:v>0.23013158191219324</c:v>
                      </c:pt>
                      <c:pt idx="149">
                        <c:v>0.2328759245945497</c:v>
                      </c:pt>
                      <c:pt idx="150">
                        <c:v>0.23563421363969039</c:v>
                      </c:pt>
                      <c:pt idx="151">
                        <c:v>0.23840640867297527</c:v>
                      </c:pt>
                      <c:pt idx="152">
                        <c:v>0.24119246931976443</c:v>
                      </c:pt>
                      <c:pt idx="153">
                        <c:v>0.24399235520541782</c:v>
                      </c:pt>
                      <c:pt idx="154">
                        <c:v>0.24680602595529544</c:v>
                      </c:pt>
                      <c:pt idx="155">
                        <c:v>0.24963344119475739</c:v>
                      </c:pt>
                      <c:pt idx="156">
                        <c:v>0.25247456054916373</c:v>
                      </c:pt>
                      <c:pt idx="157">
                        <c:v>0.25532934364387444</c:v>
                      </c:pt>
                      <c:pt idx="158">
                        <c:v>0.2581977501042495</c:v>
                      </c:pt>
                      <c:pt idx="159">
                        <c:v>0.26107973955564895</c:v>
                      </c:pt>
                      <c:pt idx="160">
                        <c:v>0.26397527162343293</c:v>
                      </c:pt>
                      <c:pt idx="161">
                        <c:v>0.26688430593296136</c:v>
                      </c:pt>
                      <c:pt idx="162">
                        <c:v>0.26980680210959423</c:v>
                      </c:pt>
                      <c:pt idx="163">
                        <c:v>0.27274271977869158</c:v>
                      </c:pt>
                      <c:pt idx="164">
                        <c:v>0.27569201856561359</c:v>
                      </c:pt>
                      <c:pt idx="165">
                        <c:v>0.2786546580957201</c:v>
                      </c:pt>
                      <c:pt idx="166">
                        <c:v>0.28163059799437118</c:v>
                      </c:pt>
                      <c:pt idx="167">
                        <c:v>0.28461979788692682</c:v>
                      </c:pt>
                      <c:pt idx="168">
                        <c:v>0.28762221739874722</c:v>
                      </c:pt>
                      <c:pt idx="169">
                        <c:v>0.2906378161551923</c:v>
                      </c:pt>
                      <c:pt idx="170">
                        <c:v>0.29366655378162199</c:v>
                      </c:pt>
                      <c:pt idx="171">
                        <c:v>0.29670838990339637</c:v>
                      </c:pt>
                      <c:pt idx="172">
                        <c:v>0.29976328414587561</c:v>
                      </c:pt>
                      <c:pt idx="173">
                        <c:v>0.3028311961344195</c:v>
                      </c:pt>
                      <c:pt idx="174">
                        <c:v>0.30591208549438825</c:v>
                      </c:pt>
                      <c:pt idx="175">
                        <c:v>0.30900591185114185</c:v>
                      </c:pt>
                      <c:pt idx="176">
                        <c:v>0.3121126348300402</c:v>
                      </c:pt>
                      <c:pt idx="177">
                        <c:v>0.31523221405644347</c:v>
                      </c:pt>
                      <c:pt idx="178">
                        <c:v>0.31836460915571158</c:v>
                      </c:pt>
                      <c:pt idx="179">
                        <c:v>0.32150977975320466</c:v>
                      </c:pt>
                      <c:pt idx="180">
                        <c:v>0.32466768547428265</c:v>
                      </c:pt>
                      <c:pt idx="181">
                        <c:v>0.32783828594430564</c:v>
                      </c:pt>
                      <c:pt idx="182">
                        <c:v>0.33102154078863361</c:v>
                      </c:pt>
                      <c:pt idx="183">
                        <c:v>0.33421740963262658</c:v>
                      </c:pt>
                      <c:pt idx="184">
                        <c:v>0.33742585210164472</c:v>
                      </c:pt>
                      <c:pt idx="185">
                        <c:v>0.34064682782104777</c:v>
                      </c:pt>
                      <c:pt idx="186">
                        <c:v>0.34388029641619594</c:v>
                      </c:pt>
                      <c:pt idx="187">
                        <c:v>0.34712621751244926</c:v>
                      </c:pt>
                      <c:pt idx="188">
                        <c:v>0.35038455073516772</c:v>
                      </c:pt>
                      <c:pt idx="189">
                        <c:v>0.3536552557097114</c:v>
                      </c:pt>
                      <c:pt idx="190">
                        <c:v>0.35693829206144023</c:v>
                      </c:pt>
                      <c:pt idx="191">
                        <c:v>0.36023361941571425</c:v>
                      </c:pt>
                      <c:pt idx="192">
                        <c:v>0.36354119739789359</c:v>
                      </c:pt>
                      <c:pt idx="193">
                        <c:v>0.36686098563333813</c:v>
                      </c:pt>
                      <c:pt idx="194">
                        <c:v>0.37019294374740802</c:v>
                      </c:pt>
                      <c:pt idx="195">
                        <c:v>0.37353703136546318</c:v>
                      </c:pt>
                      <c:pt idx="196">
                        <c:v>0.3768932081128637</c:v>
                      </c:pt>
                      <c:pt idx="197">
                        <c:v>0.38026143361496961</c:v>
                      </c:pt>
                      <c:pt idx="198">
                        <c:v>0.3836416674971409</c:v>
                      </c:pt>
                      <c:pt idx="199">
                        <c:v>0.38703386938473766</c:v>
                      </c:pt>
                      <c:pt idx="200">
                        <c:v>0.39043799890311981</c:v>
                      </c:pt>
                      <c:pt idx="201">
                        <c:v>0.39385401567764744</c:v>
                      </c:pt>
                      <c:pt idx="202">
                        <c:v>0.39728187933368053</c:v>
                      </c:pt>
                      <c:pt idx="203">
                        <c:v>0.40072154949657923</c:v>
                      </c:pt>
                      <c:pt idx="204">
                        <c:v>0.40417298579170347</c:v>
                      </c:pt>
                      <c:pt idx="205">
                        <c:v>0.40763614784441327</c:v>
                      </c:pt>
                      <c:pt idx="206">
                        <c:v>0.41111099528006861</c:v>
                      </c:pt>
                      <c:pt idx="207">
                        <c:v>0.4145974877240296</c:v>
                      </c:pt>
                      <c:pt idx="208">
                        <c:v>0.41809558480165632</c:v>
                      </c:pt>
                      <c:pt idx="209">
                        <c:v>0.42160524613830852</c:v>
                      </c:pt>
                      <c:pt idx="210">
                        <c:v>0.42512643135934663</c:v>
                      </c:pt>
                      <c:pt idx="211">
                        <c:v>0.42865910009013031</c:v>
                      </c:pt>
                      <c:pt idx="212">
                        <c:v>0.43220321195601985</c:v>
                      </c:pt>
                      <c:pt idx="213">
                        <c:v>0.43575872658237508</c:v>
                      </c:pt>
                      <c:pt idx="214">
                        <c:v>0.43932560359455619</c:v>
                      </c:pt>
                      <c:pt idx="215">
                        <c:v>0.44290380261792311</c:v>
                      </c:pt>
                      <c:pt idx="216">
                        <c:v>0.44649328327783588</c:v>
                      </c:pt>
                      <c:pt idx="217">
                        <c:v>0.45009400519965448</c:v>
                      </c:pt>
                      <c:pt idx="218">
                        <c:v>0.45370592800873899</c:v>
                      </c:pt>
                      <c:pt idx="219">
                        <c:v>0.45732901133044945</c:v>
                      </c:pt>
                      <c:pt idx="220">
                        <c:v>0.46096321479014579</c:v>
                      </c:pt>
                      <c:pt idx="221">
                        <c:v>0.46460849801318821</c:v>
                      </c:pt>
                      <c:pt idx="222">
                        <c:v>0.46826482062493668</c:v>
                      </c:pt>
                      <c:pt idx="223">
                        <c:v>0.47193214225075103</c:v>
                      </c:pt>
                      <c:pt idx="224">
                        <c:v>0.47561042251599145</c:v>
                      </c:pt>
                      <c:pt idx="225">
                        <c:v>0.47929962104601798</c:v>
                      </c:pt>
                      <c:pt idx="226">
                        <c:v>0.48299969746619059</c:v>
                      </c:pt>
                      <c:pt idx="227">
                        <c:v>0.48671061140186944</c:v>
                      </c:pt>
                      <c:pt idx="228">
                        <c:v>0.49043232247841428</c:v>
                      </c:pt>
                      <c:pt idx="229">
                        <c:v>0.49416479032118538</c:v>
                      </c:pt>
                      <c:pt idx="230">
                        <c:v>0.4979079745555427</c:v>
                      </c:pt>
                      <c:pt idx="231">
                        <c:v>0.50166183480684623</c:v>
                      </c:pt>
                      <c:pt idx="232">
                        <c:v>0.50542633070045595</c:v>
                      </c:pt>
                      <c:pt idx="233">
                        <c:v>0.50920142186173201</c:v>
                      </c:pt>
                      <c:pt idx="234">
                        <c:v>0.51298706791603443</c:v>
                      </c:pt>
                      <c:pt idx="235">
                        <c:v>0.51678322848872316</c:v>
                      </c:pt>
                      <c:pt idx="236">
                        <c:v>0.5205898632051581</c:v>
                      </c:pt>
                      <c:pt idx="237">
                        <c:v>0.52440693169069952</c:v>
                      </c:pt>
                      <c:pt idx="238">
                        <c:v>0.52823439357070734</c:v>
                      </c:pt>
                      <c:pt idx="239">
                        <c:v>0.5320722084705416</c:v>
                      </c:pt>
                      <c:pt idx="240">
                        <c:v>0.53592033601556233</c:v>
                      </c:pt>
                      <c:pt idx="241">
                        <c:v>0.53977873583112956</c:v>
                      </c:pt>
                      <c:pt idx="242">
                        <c:v>0.54364736754260323</c:v>
                      </c:pt>
                      <c:pt idx="243">
                        <c:v>0.54752619077534348</c:v>
                      </c:pt>
                      <c:pt idx="244">
                        <c:v>0.55141516515471012</c:v>
                      </c:pt>
                      <c:pt idx="245">
                        <c:v>0.55531425030606352</c:v>
                      </c:pt>
                      <c:pt idx="246">
                        <c:v>0.55922340585476349</c:v>
                      </c:pt>
                      <c:pt idx="247">
                        <c:v>0.56314259142617018</c:v>
                      </c:pt>
                      <c:pt idx="248">
                        <c:v>0.5670717666456434</c:v>
                      </c:pt>
                      <c:pt idx="249">
                        <c:v>0.57101089113854331</c:v>
                      </c:pt>
                      <c:pt idx="250">
                        <c:v>0.57495992453022982</c:v>
                      </c:pt>
                      <c:pt idx="251">
                        <c:v>0.57891882644606329</c:v>
                      </c:pt>
                      <c:pt idx="252">
                        <c:v>0.58288755651140334</c:v>
                      </c:pt>
                      <c:pt idx="253">
                        <c:v>0.58686607435161031</c:v>
                      </c:pt>
                      <c:pt idx="254">
                        <c:v>0.59085433959204403</c:v>
                      </c:pt>
                      <c:pt idx="255">
                        <c:v>0.59485231185806464</c:v>
                      </c:pt>
                      <c:pt idx="256">
                        <c:v>0.59885995077503196</c:v>
                      </c:pt>
                      <c:pt idx="257">
                        <c:v>0.60287721596830635</c:v>
                      </c:pt>
                      <c:pt idx="258">
                        <c:v>0.60690406706324751</c:v>
                      </c:pt>
                      <c:pt idx="259">
                        <c:v>0.6109404636852156</c:v>
                      </c:pt>
                      <c:pt idx="260">
                        <c:v>0.61498636545957064</c:v>
                      </c:pt>
                      <c:pt idx="261">
                        <c:v>0.61904173201167279</c:v>
                      </c:pt>
                      <c:pt idx="262">
                        <c:v>0.62310652296688185</c:v>
                      </c:pt>
                      <c:pt idx="263">
                        <c:v>0.62718069795055786</c:v>
                      </c:pt>
                      <c:pt idx="264">
                        <c:v>0.63126421658806109</c:v>
                      </c:pt>
                      <c:pt idx="265">
                        <c:v>0.63535703850475134</c:v>
                      </c:pt>
                      <c:pt idx="266">
                        <c:v>0.63945912332598864</c:v>
                      </c:pt>
                      <c:pt idx="267">
                        <c:v>0.64357043067713349</c:v>
                      </c:pt>
                      <c:pt idx="268">
                        <c:v>0.6476909201835449</c:v>
                      </c:pt>
                      <c:pt idx="269">
                        <c:v>0.65182055147058382</c:v>
                      </c:pt>
                      <c:pt idx="270">
                        <c:v>0.65595928416360982</c:v>
                      </c:pt>
                      <c:pt idx="271">
                        <c:v>0.66010707788798317</c:v>
                      </c:pt>
                      <c:pt idx="272">
                        <c:v>0.66426389226906368</c:v>
                      </c:pt>
                      <c:pt idx="273">
                        <c:v>0.66842968693221161</c:v>
                      </c:pt>
                      <c:pt idx="274">
                        <c:v>0.67260442150278676</c:v>
                      </c:pt>
                      <c:pt idx="275">
                        <c:v>0.67678805560614919</c:v>
                      </c:pt>
                      <c:pt idx="276">
                        <c:v>0.68098054886765891</c:v>
                      </c:pt>
                      <c:pt idx="277">
                        <c:v>0.6851818609126763</c:v>
                      </c:pt>
                      <c:pt idx="278">
                        <c:v>0.68939195136656095</c:v>
                      </c:pt>
                      <c:pt idx="279">
                        <c:v>0.69361077985467301</c:v>
                      </c:pt>
                      <c:pt idx="280">
                        <c:v>0.69783830600237251</c:v>
                      </c:pt>
                      <c:pt idx="281">
                        <c:v>0.70207448943501971</c:v>
                      </c:pt>
                      <c:pt idx="282">
                        <c:v>0.7063192897779742</c:v>
                      </c:pt>
                      <c:pt idx="283">
                        <c:v>0.71057266665659624</c:v>
                      </c:pt>
                      <c:pt idx="284">
                        <c:v>0.71483457969624586</c:v>
                      </c:pt>
                      <c:pt idx="285">
                        <c:v>0.71910498852228333</c:v>
                      </c:pt>
                      <c:pt idx="286">
                        <c:v>0.72338385276006789</c:v>
                      </c:pt>
                      <c:pt idx="287">
                        <c:v>0.72767113203496048</c:v>
                      </c:pt>
                      <c:pt idx="288">
                        <c:v>0.73196678597232057</c:v>
                      </c:pt>
                      <c:pt idx="289">
                        <c:v>0.73627077419750853</c:v>
                      </c:pt>
                      <c:pt idx="290">
                        <c:v>0.74058305633588395</c:v>
                      </c:pt>
                      <c:pt idx="291">
                        <c:v>0.74490359201280743</c:v>
                      </c:pt>
                      <c:pt idx="292">
                        <c:v>0.74923234085363843</c:v>
                      </c:pt>
                      <c:pt idx="293">
                        <c:v>0.75356926248373723</c:v>
                      </c:pt>
                      <c:pt idx="294">
                        <c:v>0.75791431652846386</c:v>
                      </c:pt>
                      <c:pt idx="295">
                        <c:v>0.76226746261317835</c:v>
                      </c:pt>
                      <c:pt idx="296">
                        <c:v>0.76662866036324073</c:v>
                      </c:pt>
                      <c:pt idx="297">
                        <c:v>0.77099786940401105</c:v>
                      </c:pt>
                      <c:pt idx="298">
                        <c:v>0.775375049360849</c:v>
                      </c:pt>
                      <c:pt idx="299">
                        <c:v>0.7797601598591154</c:v>
                      </c:pt>
                      <c:pt idx="300">
                        <c:v>0.78415316052416939</c:v>
                      </c:pt>
                      <c:pt idx="301">
                        <c:v>0.78855401098137157</c:v>
                      </c:pt>
                      <c:pt idx="302">
                        <c:v>0.79296267085608152</c:v>
                      </c:pt>
                      <c:pt idx="303">
                        <c:v>0.79737909977365984</c:v>
                      </c:pt>
                      <c:pt idx="304">
                        <c:v>0.801803257359466</c:v>
                      </c:pt>
                      <c:pt idx="305">
                        <c:v>0.80623510323886038</c:v>
                      </c:pt>
                      <c:pt idx="306">
                        <c:v>0.81067459703720268</c:v>
                      </c:pt>
                      <c:pt idx="307">
                        <c:v>0.81512169837985327</c:v>
                      </c:pt>
                      <c:pt idx="308">
                        <c:v>0.81957636689217173</c:v>
                      </c:pt>
                      <c:pt idx="309">
                        <c:v>0.82403856219951899</c:v>
                      </c:pt>
                      <c:pt idx="310">
                        <c:v>0.82850824392725386</c:v>
                      </c:pt>
                      <c:pt idx="311">
                        <c:v>0.83298537170073739</c:v>
                      </c:pt>
                      <c:pt idx="312">
                        <c:v>0.83746990514532882</c:v>
                      </c:pt>
                      <c:pt idx="313">
                        <c:v>0.84196180388638897</c:v>
                      </c:pt>
                      <c:pt idx="314">
                        <c:v>0.84646102754927699</c:v>
                      </c:pt>
                      <c:pt idx="315">
                        <c:v>0.85096753575935391</c:v>
                      </c:pt>
                      <c:pt idx="316">
                        <c:v>0.85548128814197844</c:v>
                      </c:pt>
                      <c:pt idx="317">
                        <c:v>0.86000224432251227</c:v>
                      </c:pt>
                      <c:pt idx="318">
                        <c:v>0.86453036392631377</c:v>
                      </c:pt>
                      <c:pt idx="319">
                        <c:v>0.8690656065787441</c:v>
                      </c:pt>
                      <c:pt idx="320">
                        <c:v>0.87360793190516262</c:v>
                      </c:pt>
                      <c:pt idx="321">
                        <c:v>0.87815729953092991</c:v>
                      </c:pt>
                      <c:pt idx="322">
                        <c:v>0.88271366908140558</c:v>
                      </c:pt>
                      <c:pt idx="323">
                        <c:v>0.8872770001819501</c:v>
                      </c:pt>
                      <c:pt idx="324">
                        <c:v>0.89184725245792273</c:v>
                      </c:pt>
                      <c:pt idx="325">
                        <c:v>0.89642438553468418</c:v>
                      </c:pt>
                      <c:pt idx="326">
                        <c:v>0.90100835903759402</c:v>
                      </c:pt>
                      <c:pt idx="327">
                        <c:v>0.90559913259201297</c:v>
                      </c:pt>
                      <c:pt idx="328">
                        <c:v>0.91019666582330028</c:v>
                      </c:pt>
                      <c:pt idx="329">
                        <c:v>0.91480091835681654</c:v>
                      </c:pt>
                      <c:pt idx="330">
                        <c:v>0.91941184981792112</c:v>
                      </c:pt>
                      <c:pt idx="331">
                        <c:v>0.92402941983197484</c:v>
                      </c:pt>
                      <c:pt idx="332">
                        <c:v>0.92865358802433684</c:v>
                      </c:pt>
                      <c:pt idx="333">
                        <c:v>0.93328431402036804</c:v>
                      </c:pt>
                      <c:pt idx="334">
                        <c:v>0.93792155744542782</c:v>
                      </c:pt>
                      <c:pt idx="335">
                        <c:v>0.94256527792487677</c:v>
                      </c:pt>
                      <c:pt idx="336">
                        <c:v>0.94721543508407413</c:v>
                      </c:pt>
                      <c:pt idx="337">
                        <c:v>0.95187198854838106</c:v>
                      </c:pt>
                      <c:pt idx="338">
                        <c:v>0.95653489794315638</c:v>
                      </c:pt>
                      <c:pt idx="339">
                        <c:v>0.96120412289376078</c:v>
                      </c:pt>
                      <c:pt idx="340">
                        <c:v>0.96587962302555397</c:v>
                      </c:pt>
                      <c:pt idx="341">
                        <c:v>0.97056135796389653</c:v>
                      </c:pt>
                      <c:pt idx="342">
                        <c:v>0.97524928733414773</c:v>
                      </c:pt>
                      <c:pt idx="343">
                        <c:v>0.97994337076166849</c:v>
                      </c:pt>
                      <c:pt idx="344">
                        <c:v>0.98464356787181795</c:v>
                      </c:pt>
                      <c:pt idx="345">
                        <c:v>0.9893498382899566</c:v>
                      </c:pt>
                      <c:pt idx="346">
                        <c:v>0.99406214164144413</c:v>
                      </c:pt>
                      <c:pt idx="347">
                        <c:v>0.99878043755164114</c:v>
                      </c:pt>
                      <c:pt idx="348">
                        <c:v>1.0035046856459071</c:v>
                      </c:pt>
                      <c:pt idx="349">
                        <c:v>1.0082348455496026</c:v>
                      </c:pt>
                      <c:pt idx="350">
                        <c:v>1.012970876888087</c:v>
                      </c:pt>
                      <c:pt idx="351">
                        <c:v>1.0177127392867209</c:v>
                      </c:pt>
                      <c:pt idx="352">
                        <c:v>1.0224603923708639</c:v>
                      </c:pt>
                      <c:pt idx="353">
                        <c:v>1.027213795765876</c:v>
                      </c:pt>
                      <c:pt idx="354">
                        <c:v>1.0319729090971177</c:v>
                      </c:pt>
                      <c:pt idx="355">
                        <c:v>1.0367376919899489</c:v>
                      </c:pt>
                      <c:pt idx="356">
                        <c:v>1.0415081040697292</c:v>
                      </c:pt>
                      <c:pt idx="357">
                        <c:v>1.046284104961819</c:v>
                      </c:pt>
                      <c:pt idx="358">
                        <c:v>1.0510656542915782</c:v>
                      </c:pt>
                      <c:pt idx="359">
                        <c:v>1.0558527116843668</c:v>
                      </c:pt>
                      <c:pt idx="360">
                        <c:v>1.060645236765545</c:v>
                      </c:pt>
                      <c:pt idx="361">
                        <c:v>1.0654431891604728</c:v>
                      </c:pt>
                      <c:pt idx="362">
                        <c:v>1.0702465284945097</c:v>
                      </c:pt>
                      <c:pt idx="363">
                        <c:v>1.0750552143930165</c:v>
                      </c:pt>
                      <c:pt idx="364">
                        <c:v>1.0798692064813529</c:v>
                      </c:pt>
                      <c:pt idx="365">
                        <c:v>1.0846884643848789</c:v>
                      </c:pt>
                      <c:pt idx="366">
                        <c:v>1.089512947728954</c:v>
                      </c:pt>
                      <c:pt idx="367">
                        <c:v>1.0943426161389396</c:v>
                      </c:pt>
                      <c:pt idx="368">
                        <c:v>1.0991774292401943</c:v>
                      </c:pt>
                      <c:pt idx="369">
                        <c:v>1.1040173466580789</c:v>
                      </c:pt>
                      <c:pt idx="370">
                        <c:v>1.1088623280179533</c:v>
                      </c:pt>
                      <c:pt idx="371">
                        <c:v>1.1137123329451775</c:v>
                      </c:pt>
                      <c:pt idx="372">
                        <c:v>1.118567321065111</c:v>
                      </c:pt>
                      <c:pt idx="373">
                        <c:v>1.1234272520031148</c:v>
                      </c:pt>
                      <c:pt idx="374">
                        <c:v>1.1282920853845482</c:v>
                      </c:pt>
                      <c:pt idx="375">
                        <c:v>1.1331617808347718</c:v>
                      </c:pt>
                      <c:pt idx="376">
                        <c:v>1.1380362979791445</c:v>
                      </c:pt>
                      <c:pt idx="377">
                        <c:v>1.1429155964430278</c:v>
                      </c:pt>
                      <c:pt idx="378">
                        <c:v>1.1477996358517808</c:v>
                      </c:pt>
                      <c:pt idx="379">
                        <c:v>1.152688375830764</c:v>
                      </c:pt>
                      <c:pt idx="380">
                        <c:v>1.1575817760053368</c:v>
                      </c:pt>
                      <c:pt idx="381">
                        <c:v>1.1624797960008599</c:v>
                      </c:pt>
                      <c:pt idx="382">
                        <c:v>1.1673823954426927</c:v>
                      </c:pt>
                      <c:pt idx="383">
                        <c:v>1.1722895339561961</c:v>
                      </c:pt>
                      <c:pt idx="384">
                        <c:v>1.1772011711667292</c:v>
                      </c:pt>
                      <c:pt idx="385">
                        <c:v>1.1821172666996524</c:v>
                      </c:pt>
                      <c:pt idx="386">
                        <c:v>1.1870377801803256</c:v>
                      </c:pt>
                      <c:pt idx="387">
                        <c:v>1.1919626712341096</c:v>
                      </c:pt>
                      <c:pt idx="388">
                        <c:v>1.1968918994863631</c:v>
                      </c:pt>
                      <c:pt idx="389">
                        <c:v>1.2018254245624473</c:v>
                      </c:pt>
                      <c:pt idx="390">
                        <c:v>1.2067632060877214</c:v>
                      </c:pt>
                      <c:pt idx="391">
                        <c:v>1.211705203687546</c:v>
                      </c:pt>
                      <c:pt idx="392">
                        <c:v>1.2166513769872802</c:v>
                      </c:pt>
                      <c:pt idx="393">
                        <c:v>1.2216016856122858</c:v>
                      </c:pt>
                      <c:pt idx="394">
                        <c:v>1.2265560891879208</c:v>
                      </c:pt>
                      <c:pt idx="395">
                        <c:v>1.2315145473395468</c:v>
                      </c:pt>
                      <c:pt idx="396">
                        <c:v>1.2364770196925225</c:v>
                      </c:pt>
                      <c:pt idx="397">
                        <c:v>1.2414434658722093</c:v>
                      </c:pt>
                      <c:pt idx="398">
                        <c:v>1.2464138455039659</c:v>
                      </c:pt>
                      <c:pt idx="399">
                        <c:v>1.2513881182131537</c:v>
                      </c:pt>
                      <c:pt idx="400">
                        <c:v>1.2563662436251315</c:v>
                      </c:pt>
                      <c:pt idx="401">
                        <c:v>1.2613481813652601</c:v>
                      </c:pt>
                      <c:pt idx="402">
                        <c:v>1.2663338910588986</c:v>
                      </c:pt>
                      <c:pt idx="403">
                        <c:v>1.2713233323314084</c:v>
                      </c:pt>
                      <c:pt idx="404">
                        <c:v>1.276316464808148</c:v>
                      </c:pt>
                      <c:pt idx="405">
                        <c:v>1.2813132481144791</c:v>
                      </c:pt>
                      <c:pt idx="406">
                        <c:v>1.2863136418757606</c:v>
                      </c:pt>
                      <c:pt idx="407">
                        <c:v>1.2913176057173525</c:v>
                      </c:pt>
                      <c:pt idx="408">
                        <c:v>1.2963250992646149</c:v>
                      </c:pt>
                      <c:pt idx="409">
                        <c:v>1.3013360821429085</c:v>
                      </c:pt>
                      <c:pt idx="410">
                        <c:v>1.3063505139775924</c:v>
                      </c:pt>
                      <c:pt idx="411">
                        <c:v>1.3113683543940278</c:v>
                      </c:pt>
                      <c:pt idx="412">
                        <c:v>1.3163895630175733</c:v>
                      </c:pt>
                      <c:pt idx="413">
                        <c:v>1.3214140994735897</c:v>
                      </c:pt>
                      <c:pt idx="414">
                        <c:v>1.3264419233874369</c:v>
                      </c:pt>
                      <c:pt idx="415">
                        <c:v>1.3314729943844754</c:v>
                      </c:pt>
                      <c:pt idx="416">
                        <c:v>1.3365072720900641</c:v>
                      </c:pt>
                      <c:pt idx="417">
                        <c:v>1.3415447161295644</c:v>
                      </c:pt>
                      <c:pt idx="418">
                        <c:v>1.3465852861283352</c:v>
                      </c:pt>
                      <c:pt idx="419">
                        <c:v>1.3516289417117373</c:v>
                      </c:pt>
                      <c:pt idx="420">
                        <c:v>1.3566756425051298</c:v>
                      </c:pt>
                      <c:pt idx="421">
                        <c:v>1.361725348133874</c:v>
                      </c:pt>
                      <c:pt idx="422">
                        <c:v>1.3667780182233287</c:v>
                      </c:pt>
                      <c:pt idx="423">
                        <c:v>1.3718336123988548</c:v>
                      </c:pt>
                      <c:pt idx="424">
                        <c:v>1.3768920902858117</c:v>
                      </c:pt>
                      <c:pt idx="425">
                        <c:v>1.3819534115095604</c:v>
                      </c:pt>
                      <c:pt idx="426">
                        <c:v>1.3870175356954593</c:v>
                      </c:pt>
                      <c:pt idx="427">
                        <c:v>1.3920844224688698</c:v>
                      </c:pt>
                      <c:pt idx="428">
                        <c:v>1.3971540314551518</c:v>
                      </c:pt>
                      <c:pt idx="429">
                        <c:v>1.4022263222796645</c:v>
                      </c:pt>
                      <c:pt idx="430">
                        <c:v>1.4073012545677688</c:v>
                      </c:pt>
                      <c:pt idx="431">
                        <c:v>1.4123787879448242</c:v>
                      </c:pt>
                      <c:pt idx="432">
                        <c:v>1.4174588820361906</c:v>
                      </c:pt>
                      <c:pt idx="433">
                        <c:v>1.4225414964672292</c:v>
                      </c:pt>
                      <c:pt idx="434">
                        <c:v>1.4276265908632981</c:v>
                      </c:pt>
                      <c:pt idx="435">
                        <c:v>1.432714124849759</c:v>
                      </c:pt>
                      <c:pt idx="436">
                        <c:v>1.4378040580519711</c:v>
                      </c:pt>
                      <c:pt idx="437">
                        <c:v>1.4428963500952947</c:v>
                      </c:pt>
                      <c:pt idx="438">
                        <c:v>1.4479909606050896</c:v>
                      </c:pt>
                      <c:pt idx="439">
                        <c:v>1.4530878492067159</c:v>
                      </c:pt>
                      <c:pt idx="440">
                        <c:v>1.4581869755255339</c:v>
                      </c:pt>
                      <c:pt idx="441">
                        <c:v>1.4632882991869036</c:v>
                      </c:pt>
                      <c:pt idx="442">
                        <c:v>1.4683917798161843</c:v>
                      </c:pt>
                      <c:pt idx="443">
                        <c:v>1.4734973770387374</c:v>
                      </c:pt>
                      <c:pt idx="444">
                        <c:v>1.4786050504799213</c:v>
                      </c:pt>
                      <c:pt idx="445">
                        <c:v>1.483714759765097</c:v>
                      </c:pt>
                      <c:pt idx="446">
                        <c:v>1.4888264645196245</c:v>
                      </c:pt>
                      <c:pt idx="447">
                        <c:v>1.4939401243688635</c:v>
                      </c:pt>
                      <c:pt idx="448">
                        <c:v>1.4990556989381743</c:v>
                      </c:pt>
                      <c:pt idx="449">
                        <c:v>1.504173147852917</c:v>
                      </c:pt>
                      <c:pt idx="450">
                        <c:v>1.509292430738451</c:v>
                      </c:pt>
                      <c:pt idx="451">
                        <c:v>1.5144135072201372</c:v>
                      </c:pt>
                      <c:pt idx="452">
                        <c:v>1.519536336923335</c:v>
                      </c:pt>
                      <c:pt idx="453">
                        <c:v>1.5246608794734047</c:v>
                      </c:pt>
                      <c:pt idx="454">
                        <c:v>1.5297870944957062</c:v>
                      </c:pt>
                      <c:pt idx="455">
                        <c:v>1.5349149416155996</c:v>
                      </c:pt>
                      <c:pt idx="456">
                        <c:v>1.5400443804584447</c:v>
                      </c:pt>
                      <c:pt idx="457">
                        <c:v>1.5451753706496021</c:v>
                      </c:pt>
                      <c:pt idx="458">
                        <c:v>1.550307871814431</c:v>
                      </c:pt>
                      <c:pt idx="459">
                        <c:v>1.5554418435782924</c:v>
                      </c:pt>
                      <c:pt idx="460">
                        <c:v>1.5605772455665448</c:v>
                      </c:pt>
                      <c:pt idx="461">
                        <c:v>1.5657140374045504</c:v>
                      </c:pt>
                      <c:pt idx="462">
                        <c:v>1.5708521787176675</c:v>
                      </c:pt>
                      <c:pt idx="463">
                        <c:v>1.5759916291312568</c:v>
                      </c:pt>
                      <c:pt idx="464">
                        <c:v>1.5811323482706778</c:v>
                      </c:pt>
                      <c:pt idx="465">
                        <c:v>1.5862742957612916</c:v>
                      </c:pt>
                      <c:pt idx="466">
                        <c:v>1.5914174312284568</c:v>
                      </c:pt>
                      <c:pt idx="467">
                        <c:v>1.596561714297535</c:v>
                      </c:pt>
                      <c:pt idx="468">
                        <c:v>1.6017071045938849</c:v>
                      </c:pt>
                      <c:pt idx="469">
                        <c:v>1.6068535617428674</c:v>
                      </c:pt>
                      <c:pt idx="470">
                        <c:v>1.6120010453698415</c:v>
                      </c:pt>
                      <c:pt idx="471">
                        <c:v>1.6171495151001682</c:v>
                      </c:pt>
                      <c:pt idx="472">
                        <c:v>1.622298930559207</c:v>
                      </c:pt>
                      <c:pt idx="473">
                        <c:v>1.6274492513723187</c:v>
                      </c:pt>
                      <c:pt idx="474">
                        <c:v>1.6326004371648621</c:v>
                      </c:pt>
                      <c:pt idx="475">
                        <c:v>1.6377524475621985</c:v>
                      </c:pt>
                      <c:pt idx="476">
                        <c:v>1.6429052421896868</c:v>
                      </c:pt>
                      <c:pt idx="477">
                        <c:v>1.6480587806726876</c:v>
                      </c:pt>
                      <c:pt idx="478">
                        <c:v>1.6532130226365609</c:v>
                      </c:pt>
                      <c:pt idx="479">
                        <c:v>1.658367927706667</c:v>
                      </c:pt>
                      <c:pt idx="480">
                        <c:v>1.6635234555083649</c:v>
                      </c:pt>
                      <c:pt idx="481">
                        <c:v>1.6686795656670159</c:v>
                      </c:pt>
                      <c:pt idx="482">
                        <c:v>1.6738362178079795</c:v>
                      </c:pt>
                      <c:pt idx="483">
                        <c:v>1.6789933715566154</c:v>
                      </c:pt>
                      <c:pt idx="484">
                        <c:v>1.6841509865382833</c:v>
                      </c:pt>
                      <c:pt idx="485">
                        <c:v>1.6893090223783451</c:v>
                      </c:pt>
                      <c:pt idx="486">
                        <c:v>1.6944674387021588</c:v>
                      </c:pt>
                      <c:pt idx="487">
                        <c:v>1.6996261951350857</c:v>
                      </c:pt>
                      <c:pt idx="488">
                        <c:v>1.7047852513024844</c:v>
                      </c:pt>
                      <c:pt idx="489">
                        <c:v>1.7099445668297166</c:v>
                      </c:pt>
                      <c:pt idx="490">
                        <c:v>1.7151041013421411</c:v>
                      </c:pt>
                      <c:pt idx="491">
                        <c:v>1.720263814465119</c:v>
                      </c:pt>
                      <c:pt idx="492">
                        <c:v>1.7254236658240085</c:v>
                      </c:pt>
                      <c:pt idx="493">
                        <c:v>1.7305836150441722</c:v>
                      </c:pt>
                      <c:pt idx="494">
                        <c:v>1.7357436217509681</c:v>
                      </c:pt>
                      <c:pt idx="495">
                        <c:v>1.7409036455697569</c:v>
                      </c:pt>
                      <c:pt idx="496">
                        <c:v>1.7460636461258985</c:v>
                      </c:pt>
                      <c:pt idx="497">
                        <c:v>1.7512235830447533</c:v>
                      </c:pt>
                      <c:pt idx="498">
                        <c:v>1.7563834159516807</c:v>
                      </c:pt>
                      <c:pt idx="499">
                        <c:v>1.7615431044720415</c:v>
                      </c:pt>
                      <c:pt idx="500">
                        <c:v>1.7667026082311947</c:v>
                      </c:pt>
                      <c:pt idx="501">
                        <c:v>1.7718618868545013</c:v>
                      </c:pt>
                      <c:pt idx="502">
                        <c:v>1.7770208999673209</c:v>
                      </c:pt>
                      <c:pt idx="503">
                        <c:v>1.7821796071950138</c:v>
                      </c:pt>
                      <c:pt idx="504">
                        <c:v>1.7873379681629398</c:v>
                      </c:pt>
                      <c:pt idx="505">
                        <c:v>1.7924959424964588</c:v>
                      </c:pt>
                      <c:pt idx="506">
                        <c:v>1.7976534898209307</c:v>
                      </c:pt>
                      <c:pt idx="507">
                        <c:v>1.8028105697617163</c:v>
                      </c:pt>
                      <c:pt idx="508">
                        <c:v>1.8079671419441747</c:v>
                      </c:pt>
                      <c:pt idx="509">
                        <c:v>1.8131231659936664</c:v>
                      </c:pt>
                      <c:pt idx="510">
                        <c:v>1.8182786015355514</c:v>
                      </c:pt>
                      <c:pt idx="511">
                        <c:v>1.8234334081951897</c:v>
                      </c:pt>
                      <c:pt idx="512">
                        <c:v>1.8285875455979417</c:v>
                      </c:pt>
                      <c:pt idx="513">
                        <c:v>1.8337409733691665</c:v>
                      </c:pt>
                      <c:pt idx="514">
                        <c:v>1.8388936511342244</c:v>
                      </c:pt>
                      <c:pt idx="515">
                        <c:v>1.8440455385184762</c:v>
                      </c:pt>
                      <c:pt idx="516">
                        <c:v>1.8491965951472817</c:v>
                      </c:pt>
                      <c:pt idx="517">
                        <c:v>1.8543467806460001</c:v>
                      </c:pt>
                      <c:pt idx="518">
                        <c:v>1.8594960546399917</c:v>
                      </c:pt>
                      <c:pt idx="519">
                        <c:v>1.8646443767546175</c:v>
                      </c:pt>
                      <c:pt idx="520">
                        <c:v>1.8697917066152363</c:v>
                      </c:pt>
                      <c:pt idx="521">
                        <c:v>1.8749380038472088</c:v>
                      </c:pt>
                      <c:pt idx="522">
                        <c:v>1.880083228075895</c:v>
                      </c:pt>
                      <c:pt idx="523">
                        <c:v>1.8852273389266543</c:v>
                      </c:pt>
                      <c:pt idx="524">
                        <c:v>1.8903702960248479</c:v>
                      </c:pt>
                      <c:pt idx="525">
                        <c:v>1.8955120589958347</c:v>
                      </c:pt>
                      <c:pt idx="526">
                        <c:v>1.9006525874649753</c:v>
                      </c:pt>
                      <c:pt idx="527">
                        <c:v>1.9057918410576296</c:v>
                      </c:pt>
                      <c:pt idx="528">
                        <c:v>1.9109297793991571</c:v>
                      </c:pt>
                      <c:pt idx="529">
                        <c:v>1.9160663621149192</c:v>
                      </c:pt>
                      <c:pt idx="530">
                        <c:v>1.9212015488302743</c:v>
                      </c:pt>
                      <c:pt idx="531">
                        <c:v>1.9263352991705838</c:v>
                      </c:pt>
                      <c:pt idx="532">
                        <c:v>1.9314675727612065</c:v>
                      </c:pt>
                      <c:pt idx="533">
                        <c:v>1.9365983292275031</c:v>
                      </c:pt>
                      <c:pt idx="534">
                        <c:v>1.9417275281948345</c:v>
                      </c:pt>
                      <c:pt idx="535">
                        <c:v>1.9468551292885588</c:v>
                      </c:pt>
                      <c:pt idx="536">
                        <c:v>1.9519810921340373</c:v>
                      </c:pt>
                      <c:pt idx="537">
                        <c:v>1.9571053763566297</c:v>
                      </c:pt>
                      <c:pt idx="538">
                        <c:v>1.9622279415816961</c:v>
                      </c:pt>
                      <c:pt idx="539">
                        <c:v>1.9673487474345968</c:v>
                      </c:pt>
                      <c:pt idx="540">
                        <c:v>1.9724677535406909</c:v>
                      </c:pt>
                      <c:pt idx="541">
                        <c:v>1.9775849195253397</c:v>
                      </c:pt>
                      <c:pt idx="542">
                        <c:v>1.9827002050139022</c:v>
                      </c:pt>
                      <c:pt idx="543">
                        <c:v>1.9878135696317387</c:v>
                      </c:pt>
                      <c:pt idx="544">
                        <c:v>1.9929249730042093</c:v>
                      </c:pt>
                      <c:pt idx="545">
                        <c:v>1.9980343747566742</c:v>
                      </c:pt>
                      <c:pt idx="546">
                        <c:v>2.0031417345144931</c:v>
                      </c:pt>
                      <c:pt idx="547">
                        <c:v>2.008247011903026</c:v>
                      </c:pt>
                      <c:pt idx="548">
                        <c:v>2.0133501665476339</c:v>
                      </c:pt>
                      <c:pt idx="549">
                        <c:v>2.0184511580736757</c:v>
                      </c:pt>
                      <c:pt idx="550">
                        <c:v>2.0235499461065114</c:v>
                      </c:pt>
                      <c:pt idx="551">
                        <c:v>2.0286464902715013</c:v>
                      </c:pt>
                      <c:pt idx="552">
                        <c:v>2.0337407501940059</c:v>
                      </c:pt>
                      <c:pt idx="553">
                        <c:v>2.038832685499385</c:v>
                      </c:pt>
                      <c:pt idx="554">
                        <c:v>2.0439222558129977</c:v>
                      </c:pt>
                      <c:pt idx="555">
                        <c:v>2.0490094207602061</c:v>
                      </c:pt>
                      <c:pt idx="556">
                        <c:v>2.0540941399663675</c:v>
                      </c:pt>
                      <c:pt idx="557">
                        <c:v>2.059176373056844</c:v>
                      </c:pt>
                      <c:pt idx="558">
                        <c:v>2.0642560796569951</c:v>
                      </c:pt>
                      <c:pt idx="559">
                        <c:v>2.0693332193921807</c:v>
                      </c:pt>
                      <c:pt idx="560">
                        <c:v>2.0744077518877604</c:v>
                      </c:pt>
                      <c:pt idx="561">
                        <c:v>2.0794796367690949</c:v>
                      </c:pt>
                      <c:pt idx="562">
                        <c:v>2.0845488336615441</c:v>
                      </c:pt>
                      <c:pt idx="563">
                        <c:v>2.0896153021904675</c:v>
                      </c:pt>
                      <c:pt idx="564">
                        <c:v>2.0946790019812256</c:v>
                      </c:pt>
                      <c:pt idx="565">
                        <c:v>2.0997398926591786</c:v>
                      </c:pt>
                      <c:pt idx="566">
                        <c:v>2.1047979338496861</c:v>
                      </c:pt>
                      <c:pt idx="567">
                        <c:v>2.1098530851781088</c:v>
                      </c:pt>
                      <c:pt idx="568">
                        <c:v>2.1149053062698053</c:v>
                      </c:pt>
                      <c:pt idx="569">
                        <c:v>2.119954556750137</c:v>
                      </c:pt>
                      <c:pt idx="570">
                        <c:v>2.1250007962444637</c:v>
                      </c:pt>
                      <c:pt idx="571">
                        <c:v>2.1300439843781449</c:v>
                      </c:pt>
                      <c:pt idx="572">
                        <c:v>2.135084080776541</c:v>
                      </c:pt>
                      <c:pt idx="573">
                        <c:v>2.1401210450650119</c:v>
                      </c:pt>
                      <c:pt idx="574">
                        <c:v>2.1451548368689175</c:v>
                      </c:pt>
                      <c:pt idx="575">
                        <c:v>2.1501854158136182</c:v>
                      </c:pt>
                      <c:pt idx="576">
                        <c:v>2.155212741524474</c:v>
                      </c:pt>
                      <c:pt idx="577">
                        <c:v>2.1602367736268446</c:v>
                      </c:pt>
                      <c:pt idx="578">
                        <c:v>2.1652574717460902</c:v>
                      </c:pt>
                      <c:pt idx="579">
                        <c:v>2.1702747955075705</c:v>
                      </c:pt>
                      <c:pt idx="580">
                        <c:v>2.175288704536646</c:v>
                      </c:pt>
                      <c:pt idx="581">
                        <c:v>2.1802991584586762</c:v>
                      </c:pt>
                      <c:pt idx="582">
                        <c:v>2.1853061168990222</c:v>
                      </c:pt>
                      <c:pt idx="583">
                        <c:v>2.1903095394830432</c:v>
                      </c:pt>
                      <c:pt idx="584">
                        <c:v>2.195309385836099</c:v>
                      </c:pt>
                      <c:pt idx="585">
                        <c:v>2.2003056155835496</c:v>
                      </c:pt>
                      <c:pt idx="586">
                        <c:v>2.2052981883507559</c:v>
                      </c:pt>
                      <c:pt idx="587">
                        <c:v>2.2102870637630772</c:v>
                      </c:pt>
                      <c:pt idx="588">
                        <c:v>2.2152722014458739</c:v>
                      </c:pt>
                      <c:pt idx="589">
                        <c:v>2.2202535610245056</c:v>
                      </c:pt>
                      <c:pt idx="590">
                        <c:v>2.2252311021243329</c:v>
                      </c:pt>
                      <c:pt idx="591">
                        <c:v>2.2302047843707151</c:v>
                      </c:pt>
                      <c:pt idx="592">
                        <c:v>2.2351745673890129</c:v>
                      </c:pt>
                      <c:pt idx="593">
                        <c:v>2.2401404108045857</c:v>
                      </c:pt>
                      <c:pt idx="594">
                        <c:v>2.2451022742427944</c:v>
                      </c:pt>
                      <c:pt idx="595">
                        <c:v>2.250060117328998</c:v>
                      </c:pt>
                      <c:pt idx="596">
                        <c:v>2.2550138996885574</c:v>
                      </c:pt>
                      <c:pt idx="597">
                        <c:v>2.2599635809468319</c:v>
                      </c:pt>
                      <c:pt idx="598">
                        <c:v>2.2649091207291825</c:v>
                      </c:pt>
                      <c:pt idx="599">
                        <c:v>2.2698504786609677</c:v>
                      </c:pt>
                      <c:pt idx="600">
                        <c:v>2.2747876143675492</c:v>
                      </c:pt>
                      <c:pt idx="601">
                        <c:v>2.279720487474286</c:v>
                      </c:pt>
                      <c:pt idx="602">
                        <c:v>2.2846490576065381</c:v>
                      </c:pt>
                      <c:pt idx="603">
                        <c:v>2.2895732843896663</c:v>
                      </c:pt>
                      <c:pt idx="604">
                        <c:v>2.2944931274490297</c:v>
                      </c:pt>
                      <c:pt idx="605">
                        <c:v>2.2994085464099889</c:v>
                      </c:pt>
                      <c:pt idx="606">
                        <c:v>2.3043195008979036</c:v>
                      </c:pt>
                      <c:pt idx="607">
                        <c:v>2.3092259505381341</c:v>
                      </c:pt>
                      <c:pt idx="608">
                        <c:v>2.3141278549560411</c:v>
                      </c:pt>
                      <c:pt idx="609">
                        <c:v>2.3190251737769825</c:v>
                      </c:pt>
                      <c:pt idx="610">
                        <c:v>2.3239178666263207</c:v>
                      </c:pt>
                      <c:pt idx="611">
                        <c:v>2.328805893129414</c:v>
                      </c:pt>
                      <c:pt idx="612">
                        <c:v>2.3336892129116236</c:v>
                      </c:pt>
                      <c:pt idx="613">
                        <c:v>2.3385677855983085</c:v>
                      </c:pt>
                      <c:pt idx="614">
                        <c:v>2.3434415708148304</c:v>
                      </c:pt>
                      <c:pt idx="615">
                        <c:v>2.3483105281865471</c:v>
                      </c:pt>
                      <c:pt idx="616">
                        <c:v>2.3531746173388202</c:v>
                      </c:pt>
                      <c:pt idx="617">
                        <c:v>2.3580337978970092</c:v>
                      </c:pt>
                      <c:pt idx="618">
                        <c:v>2.362888029486474</c:v>
                      </c:pt>
                      <c:pt idx="619">
                        <c:v>2.3677372717325746</c:v>
                      </c:pt>
                      <c:pt idx="620">
                        <c:v>2.3725814842606714</c:v>
                      </c:pt>
                      <c:pt idx="621">
                        <c:v>2.3774206266961246</c:v>
                      </c:pt>
                      <c:pt idx="622">
                        <c:v>2.3822546586642934</c:v>
                      </c:pt>
                      <c:pt idx="623">
                        <c:v>2.387083539790539</c:v>
                      </c:pt>
                      <c:pt idx="624">
                        <c:v>2.3919072297002204</c:v>
                      </c:pt>
                      <c:pt idx="625">
                        <c:v>2.3967256880186976</c:v>
                      </c:pt>
                      <c:pt idx="626">
                        <c:v>2.4015388743713313</c:v>
                      </c:pt>
                      <c:pt idx="627">
                        <c:v>2.4063467483834815</c:v>
                      </c:pt>
                      <c:pt idx="628">
                        <c:v>2.4111492696805072</c:v>
                      </c:pt>
                      <c:pt idx="629">
                        <c:v>2.4159463978877698</c:v>
                      </c:pt>
                      <c:pt idx="630">
                        <c:v>2.4207380926306286</c:v>
                      </c:pt>
                      <c:pt idx="631">
                        <c:v>2.4255243135344431</c:v>
                      </c:pt>
                      <c:pt idx="632">
                        <c:v>2.4303050202245737</c:v>
                      </c:pt>
                      <c:pt idx="633">
                        <c:v>2.4350801723263817</c:v>
                      </c:pt>
                      <c:pt idx="634">
                        <c:v>2.4398497294652257</c:v>
                      </c:pt>
                      <c:pt idx="635">
                        <c:v>2.444613651266466</c:v>
                      </c:pt>
                      <c:pt idx="636">
                        <c:v>2.449371897355463</c:v>
                      </c:pt>
                      <c:pt idx="637">
                        <c:v>2.4541244273575762</c:v>
                      </c:pt>
                      <c:pt idx="638">
                        <c:v>2.4588712008981659</c:v>
                      </c:pt>
                      <c:pt idx="639">
                        <c:v>2.4636121776025921</c:v>
                      </c:pt>
                      <c:pt idx="640">
                        <c:v>2.4683473170962147</c:v>
                      </c:pt>
                      <c:pt idx="641">
                        <c:v>2.4730765790043945</c:v>
                      </c:pt>
                      <c:pt idx="642">
                        <c:v>2.4777999229524896</c:v>
                      </c:pt>
                      <c:pt idx="643">
                        <c:v>2.4825173085658623</c:v>
                      </c:pt>
                      <c:pt idx="644">
                        <c:v>2.4872286954698719</c:v>
                      </c:pt>
                      <c:pt idx="645">
                        <c:v>2.4919340432898776</c:v>
                      </c:pt>
                      <c:pt idx="646">
                        <c:v>2.49663331165124</c:v>
                      </c:pt>
                      <c:pt idx="647">
                        <c:v>2.5013264601793193</c:v>
                      </c:pt>
                      <c:pt idx="648">
                        <c:v>2.5060134484994752</c:v>
                      </c:pt>
                      <c:pt idx="649">
                        <c:v>2.5106942362370681</c:v>
                      </c:pt>
                      <c:pt idx="650">
                        <c:v>2.5153687830174571</c:v>
                      </c:pt>
                      <c:pt idx="651">
                        <c:v>2.5200370484660035</c:v>
                      </c:pt>
                      <c:pt idx="652">
                        <c:v>2.5246989922080663</c:v>
                      </c:pt>
                      <c:pt idx="653">
                        <c:v>2.5293545738690066</c:v>
                      </c:pt>
                      <c:pt idx="654">
                        <c:v>2.5340037530741837</c:v>
                      </c:pt>
                      <c:pt idx="655">
                        <c:v>2.5386464894489573</c:v>
                      </c:pt>
                      <c:pt idx="656">
                        <c:v>2.5432827426186879</c:v>
                      </c:pt>
                      <c:pt idx="657">
                        <c:v>2.5479124722087354</c:v>
                      </c:pt>
                      <c:pt idx="658">
                        <c:v>2.5525356378444601</c:v>
                      </c:pt>
                      <c:pt idx="659">
                        <c:v>2.557152199151222</c:v>
                      </c:pt>
                      <c:pt idx="660">
                        <c:v>2.5617621157543802</c:v>
                      </c:pt>
                      <c:pt idx="661">
                        <c:v>2.5663653472792962</c:v>
                      </c:pt>
                      <c:pt idx="662">
                        <c:v>2.5709618533513288</c:v>
                      </c:pt>
                      <c:pt idx="663">
                        <c:v>2.5755515935958391</c:v>
                      </c:pt>
                      <c:pt idx="664">
                        <c:v>2.5801345276381857</c:v>
                      </c:pt>
                      <c:pt idx="665">
                        <c:v>2.58471061510373</c:v>
                      </c:pt>
                      <c:pt idx="666">
                        <c:v>2.5892798156178314</c:v>
                      </c:pt>
                      <c:pt idx="667">
                        <c:v>2.5938420888058498</c:v>
                      </c:pt>
                      <c:pt idx="668">
                        <c:v>2.5983973942931455</c:v>
                      </c:pt>
                      <c:pt idx="669">
                        <c:v>2.6029456917050791</c:v>
                      </c:pt>
                      <c:pt idx="670">
                        <c:v>2.6074869406670089</c:v>
                      </c:pt>
                      <c:pt idx="671">
                        <c:v>2.6120211008042973</c:v>
                      </c:pt>
                      <c:pt idx="672">
                        <c:v>2.6165481317423018</c:v>
                      </c:pt>
                      <c:pt idx="673">
                        <c:v>2.6210679931063847</c:v>
                      </c:pt>
                      <c:pt idx="674">
                        <c:v>2.6255806445219041</c:v>
                      </c:pt>
                      <c:pt idx="675">
                        <c:v>2.6300860456142212</c:v>
                      </c:pt>
                      <c:pt idx="676">
                        <c:v>2.634584156008696</c:v>
                      </c:pt>
                      <c:pt idx="677">
                        <c:v>2.6390749353306884</c:v>
                      </c:pt>
                      <c:pt idx="678">
                        <c:v>2.6435583432055578</c:v>
                      </c:pt>
                      <c:pt idx="679">
                        <c:v>2.6480343392586647</c:v>
                      </c:pt>
                      <c:pt idx="680">
                        <c:v>2.6525028831153694</c:v>
                      </c:pt>
                      <c:pt idx="681">
                        <c:v>2.6569639344010314</c:v>
                      </c:pt>
                      <c:pt idx="682">
                        <c:v>2.661417452741011</c:v>
                      </c:pt>
                      <c:pt idx="683">
                        <c:v>2.6658633977606687</c:v>
                      </c:pt>
                      <c:pt idx="684">
                        <c:v>2.6703017290853639</c:v>
                      </c:pt>
                      <c:pt idx="685">
                        <c:v>2.6747324063404565</c:v>
                      </c:pt>
                      <c:pt idx="686">
                        <c:v>2.6791553891513074</c:v>
                      </c:pt>
                      <c:pt idx="687">
                        <c:v>2.6835706371432755</c:v>
                      </c:pt>
                      <c:pt idx="688">
                        <c:v>2.6879781099417208</c:v>
                      </c:pt>
                      <c:pt idx="689">
                        <c:v>2.6923777671720046</c:v>
                      </c:pt>
                      <c:pt idx="690">
                        <c:v>2.6967695684594863</c:v>
                      </c:pt>
                      <c:pt idx="691">
                        <c:v>2.7011534734295255</c:v>
                      </c:pt>
                      <c:pt idx="692">
                        <c:v>2.7055294417074824</c:v>
                      </c:pt>
                      <c:pt idx="693">
                        <c:v>2.7098974329187175</c:v>
                      </c:pt>
                      <c:pt idx="694">
                        <c:v>2.7142574066885894</c:v>
                      </c:pt>
                      <c:pt idx="695">
                        <c:v>2.718609322642461</c:v>
                      </c:pt>
                      <c:pt idx="696">
                        <c:v>2.7229531404056893</c:v>
                      </c:pt>
                      <c:pt idx="697">
                        <c:v>2.7272888196036362</c:v>
                      </c:pt>
                      <c:pt idx="698">
                        <c:v>2.7316163198616605</c:v>
                      </c:pt>
                      <c:pt idx="699">
                        <c:v>2.7359356008051234</c:v>
                      </c:pt>
                      <c:pt idx="700">
                        <c:v>2.740246622059384</c:v>
                      </c:pt>
                      <c:pt idx="701">
                        <c:v>2.7445493432498029</c:v>
                      </c:pt>
                      <c:pt idx="702">
                        <c:v>2.7488437240017394</c:v>
                      </c:pt>
                      <c:pt idx="703">
                        <c:v>2.7531297239405541</c:v>
                      </c:pt>
                      <c:pt idx="704">
                        <c:v>2.7574073026916075</c:v>
                      </c:pt>
                      <c:pt idx="705">
                        <c:v>2.761676419880259</c:v>
                      </c:pt>
                      <c:pt idx="706">
                        <c:v>2.7659370351318682</c:v>
                      </c:pt>
                      <c:pt idx="707">
                        <c:v>2.7701891080717962</c:v>
                      </c:pt>
                      <c:pt idx="708">
                        <c:v>2.7744325983254017</c:v>
                      </c:pt>
                      <c:pt idx="709">
                        <c:v>2.7786674655180459</c:v>
                      </c:pt>
                      <c:pt idx="710">
                        <c:v>2.7828936692750883</c:v>
                      </c:pt>
                      <c:pt idx="711">
                        <c:v>2.7871111692218897</c:v>
                      </c:pt>
                      <c:pt idx="712">
                        <c:v>2.7913199249838088</c:v>
                      </c:pt>
                      <c:pt idx="713">
                        <c:v>2.7955198961862058</c:v>
                      </c:pt>
                      <c:pt idx="714">
                        <c:v>2.7997110424544416</c:v>
                      </c:pt>
                      <c:pt idx="715">
                        <c:v>2.8038933234138765</c:v>
                      </c:pt>
                      <c:pt idx="716">
                        <c:v>2.8080666986898697</c:v>
                      </c:pt>
                      <c:pt idx="717">
                        <c:v>2.812231127907781</c:v>
                      </c:pt>
                      <c:pt idx="718">
                        <c:v>2.8163865706929698</c:v>
                      </c:pt>
                      <c:pt idx="719">
                        <c:v>2.8205329866707984</c:v>
                      </c:pt>
                      <c:pt idx="720">
                        <c:v>2.8246703354666249</c:v>
                      </c:pt>
                      <c:pt idx="721">
                        <c:v>2.8287985767058106</c:v>
                      </c:pt>
                      <c:pt idx="722">
                        <c:v>2.8329176700137149</c:v>
                      </c:pt>
                      <c:pt idx="723">
                        <c:v>2.8370275750156972</c:v>
                      </c:pt>
                      <c:pt idx="724">
                        <c:v>2.8411282513371181</c:v>
                      </c:pt>
                      <c:pt idx="725">
                        <c:v>2.8452196586033383</c:v>
                      </c:pt>
                      <c:pt idx="726">
                        <c:v>2.8493017564397167</c:v>
                      </c:pt>
                      <c:pt idx="727">
                        <c:v>2.8533745044716143</c:v>
                      </c:pt>
                      <c:pt idx="728">
                        <c:v>2.8574378623243906</c:v>
                      </c:pt>
                      <c:pt idx="729">
                        <c:v>2.8614917896234058</c:v>
                      </c:pt>
                      <c:pt idx="730">
                        <c:v>2.8655362459940186</c:v>
                      </c:pt>
                      <c:pt idx="731">
                        <c:v>2.8695711910615911</c:v>
                      </c:pt>
                      <c:pt idx="732">
                        <c:v>2.8735965844514824</c:v>
                      </c:pt>
                      <c:pt idx="733">
                        <c:v>2.8776123857890532</c:v>
                      </c:pt>
                      <c:pt idx="734">
                        <c:v>2.8816185546996618</c:v>
                      </c:pt>
                      <c:pt idx="735">
                        <c:v>2.8856150508086698</c:v>
                      </c:pt>
                      <c:pt idx="736">
                        <c:v>2.8896018337414375</c:v>
                      </c:pt>
                      <c:pt idx="737">
                        <c:v>2.8935788631233228</c:v>
                      </c:pt>
                      <c:pt idx="738">
                        <c:v>2.8975460985796877</c:v>
                      </c:pt>
                      <c:pt idx="739">
                        <c:v>2.9015034997358917</c:v>
                      </c:pt>
                      <c:pt idx="740">
                        <c:v>2.9054510262172952</c:v>
                      </c:pt>
                      <c:pt idx="741">
                        <c:v>2.9093886376492568</c:v>
                      </c:pt>
                      <c:pt idx="742">
                        <c:v>2.9133162936571382</c:v>
                      </c:pt>
                      <c:pt idx="743">
                        <c:v>2.9172339538662984</c:v>
                      </c:pt>
                      <c:pt idx="744">
                        <c:v>2.9211415779020973</c:v>
                      </c:pt>
                      <c:pt idx="745">
                        <c:v>2.9250391253898962</c:v>
                      </c:pt>
                      <c:pt idx="746">
                        <c:v>2.9289265559550541</c:v>
                      </c:pt>
                      <c:pt idx="747">
                        <c:v>2.9328038292229315</c:v>
                      </c:pt>
                      <c:pt idx="748">
                        <c:v>2.9366709048188877</c:v>
                      </c:pt>
                      <c:pt idx="749">
                        <c:v>2.9405277423682832</c:v>
                      </c:pt>
                      <c:pt idx="750">
                        <c:v>2.9443743014964783</c:v>
                      </c:pt>
                      <c:pt idx="751">
                        <c:v>2.9482105418288325</c:v>
                      </c:pt>
                      <c:pt idx="752">
                        <c:v>2.9520364229907052</c:v>
                      </c:pt>
                      <c:pt idx="753">
                        <c:v>2.9558519046074592</c:v>
                      </c:pt>
                      <c:pt idx="754">
                        <c:v>2.9596569463044511</c:v>
                      </c:pt>
                      <c:pt idx="755">
                        <c:v>2.9634515077070431</c:v>
                      </c:pt>
                      <c:pt idx="756">
                        <c:v>2.9672355484405939</c:v>
                      </c:pt>
                      <c:pt idx="757">
                        <c:v>2.9710090281304646</c:v>
                      </c:pt>
                      <c:pt idx="758">
                        <c:v>2.9747719064020153</c:v>
                      </c:pt>
                      <c:pt idx="759">
                        <c:v>2.9785241428806044</c:v>
                      </c:pt>
                      <c:pt idx="760">
                        <c:v>2.9822656971915942</c:v>
                      </c:pt>
                      <c:pt idx="761">
                        <c:v>2.9859965289603432</c:v>
                      </c:pt>
                      <c:pt idx="762">
                        <c:v>2.9897165978122109</c:v>
                      </c:pt>
                      <c:pt idx="763">
                        <c:v>2.9934258633725594</c:v>
                      </c:pt>
                      <c:pt idx="764">
                        <c:v>2.9971242852667475</c:v>
                      </c:pt>
                      <c:pt idx="765">
                        <c:v>3.0008118231201348</c:v>
                      </c:pt>
                      <c:pt idx="766">
                        <c:v>3.004488436558082</c:v>
                      </c:pt>
                      <c:pt idx="767">
                        <c:v>3.0081540852059483</c:v>
                      </c:pt>
                      <c:pt idx="768">
                        <c:v>3.0118087286890951</c:v>
                      </c:pt>
                      <c:pt idx="769">
                        <c:v>3.0154523266328819</c:v>
                      </c:pt>
                      <c:pt idx="770">
                        <c:v>3.0190848386626676</c:v>
                      </c:pt>
                      <c:pt idx="771">
                        <c:v>3.0227062244038141</c:v>
                      </c:pt>
                      <c:pt idx="772">
                        <c:v>3.0263164434816794</c:v>
                      </c:pt>
                      <c:pt idx="773">
                        <c:v>3.0299154555216257</c:v>
                      </c:pt>
                      <c:pt idx="774">
                        <c:v>3.0335032201490115</c:v>
                      </c:pt>
                      <c:pt idx="775">
                        <c:v>3.0370796969891964</c:v>
                      </c:pt>
                      <c:pt idx="776">
                        <c:v>3.0406448456675426</c:v>
                      </c:pt>
                      <c:pt idx="777">
                        <c:v>3.0441986258094076</c:v>
                      </c:pt>
                      <c:pt idx="778">
                        <c:v>3.0477409970401537</c:v>
                      </c:pt>
                      <c:pt idx="779">
                        <c:v>3.0512719189851394</c:v>
                      </c:pt>
                      <c:pt idx="780">
                        <c:v>3.0547913512697251</c:v>
                      </c:pt>
                      <c:pt idx="781">
                        <c:v>3.0582992535192703</c:v>
                      </c:pt>
                      <c:pt idx="782">
                        <c:v>3.0617955853591363</c:v>
                      </c:pt>
                      <c:pt idx="783">
                        <c:v>3.0652803064146816</c:v>
                      </c:pt>
                      <c:pt idx="784">
                        <c:v>3.068753376311268</c:v>
                      </c:pt>
                      <c:pt idx="785">
                        <c:v>3.0722147546742544</c:v>
                      </c:pt>
                      <c:pt idx="786">
                        <c:v>3.0756644011290013</c:v>
                      </c:pt>
                      <c:pt idx="787">
                        <c:v>3.0791022753008681</c:v>
                      </c:pt>
                      <c:pt idx="788">
                        <c:v>3.0825283368152148</c:v>
                      </c:pt>
                      <c:pt idx="789">
                        <c:v>3.0859425452974021</c:v>
                      </c:pt>
                      <c:pt idx="790">
                        <c:v>3.08934486037279</c:v>
                      </c:pt>
                      <c:pt idx="791">
                        <c:v>3.0927352416667375</c:v>
                      </c:pt>
                      <c:pt idx="792">
                        <c:v>3.0961136488046064</c:v>
                      </c:pt>
                      <c:pt idx="793">
                        <c:v>3.0994800414117547</c:v>
                      </c:pt>
                      <c:pt idx="794">
                        <c:v>3.1028343791135442</c:v>
                      </c:pt>
                      <c:pt idx="795">
                        <c:v>3.106176621535333</c:v>
                      </c:pt>
                      <c:pt idx="796">
                        <c:v>3.1095067283024829</c:v>
                      </c:pt>
                      <c:pt idx="797">
                        <c:v>3.1128246590403537</c:v>
                      </c:pt>
                      <c:pt idx="798">
                        <c:v>3.1161303733743044</c:v>
                      </c:pt>
                      <c:pt idx="799">
                        <c:v>3.1194238309296964</c:v>
                      </c:pt>
                      <c:pt idx="800">
                        <c:v>3.1227049913318883</c:v>
                      </c:pt>
                      <c:pt idx="801">
                        <c:v>3.1259738142062412</c:v>
                      </c:pt>
                      <c:pt idx="802">
                        <c:v>3.1292302591781143</c:v>
                      </c:pt>
                      <c:pt idx="803">
                        <c:v>3.1324742858728678</c:v>
                      </c:pt>
                      <c:pt idx="804">
                        <c:v>3.1357058539158627</c:v>
                      </c:pt>
                      <c:pt idx="805">
                        <c:v>3.1389249229324578</c:v>
                      </c:pt>
                      <c:pt idx="806">
                        <c:v>3.1421314525480142</c:v>
                      </c:pt>
                      <c:pt idx="807">
                        <c:v>3.1453254023878898</c:v>
                      </c:pt>
                      <c:pt idx="808">
                        <c:v>3.1485067320774478</c:v>
                      </c:pt>
                      <c:pt idx="809">
                        <c:v>3.1516754012420458</c:v>
                      </c:pt>
                      <c:pt idx="810">
                        <c:v>3.1548313695070456</c:v>
                      </c:pt>
                      <c:pt idx="811">
                        <c:v>3.1579745964978052</c:v>
                      </c:pt>
                      <c:pt idx="812">
                        <c:v>3.161105041839686</c:v>
                      </c:pt>
                      <c:pt idx="813">
                        <c:v>3.1642226651580478</c:v>
                      </c:pt>
                      <c:pt idx="814">
                        <c:v>3.1673274260782502</c:v>
                      </c:pt>
                      <c:pt idx="815">
                        <c:v>3.1704192842256536</c:v>
                      </c:pt>
                      <c:pt idx="816">
                        <c:v>3.1734981992256186</c:v>
                      </c:pt>
                      <c:pt idx="817">
                        <c:v>3.176564130703504</c:v>
                      </c:pt>
                      <c:pt idx="818">
                        <c:v>3.17961703828467</c:v>
                      </c:pt>
                      <c:pt idx="819">
                        <c:v>3.182656881594478</c:v>
                      </c:pt>
                      <c:pt idx="820">
                        <c:v>3.1856836202582857</c:v>
                      </c:pt>
                      <c:pt idx="821">
                        <c:v>3.188697213901456</c:v>
                      </c:pt>
                      <c:pt idx="822">
                        <c:v>3.1916976221493467</c:v>
                      </c:pt>
                      <c:pt idx="823">
                        <c:v>3.1946848046273191</c:v>
                      </c:pt>
                      <c:pt idx="824">
                        <c:v>3.1976587209607317</c:v>
                      </c:pt>
                      <c:pt idx="825">
                        <c:v>3.2006193307749458</c:v>
                      </c:pt>
                      <c:pt idx="826">
                        <c:v>3.2035665936953213</c:v>
                      </c:pt>
                      <c:pt idx="827">
                        <c:v>3.2065004693472181</c:v>
                      </c:pt>
                      <c:pt idx="828">
                        <c:v>3.2094209173559962</c:v>
                      </c:pt>
                      <c:pt idx="829">
                        <c:v>3.2123278973470155</c:v>
                      </c:pt>
                      <c:pt idx="830">
                        <c:v>3.2152213689456359</c:v>
                      </c:pt>
                      <c:pt idx="831">
                        <c:v>3.2181012917772178</c:v>
                      </c:pt>
                      <c:pt idx="832">
                        <c:v>3.2209676254671211</c:v>
                      </c:pt>
                      <c:pt idx="833">
                        <c:v>3.2238203296407062</c:v>
                      </c:pt>
                      <c:pt idx="834">
                        <c:v>3.2266593639233321</c:v>
                      </c:pt>
                      <c:pt idx="835">
                        <c:v>3.2294846879403591</c:v>
                      </c:pt>
                      <c:pt idx="836">
                        <c:v>3.2322962613171491</c:v>
                      </c:pt>
                      <c:pt idx="837">
                        <c:v>3.2350940436790596</c:v>
                      </c:pt>
                      <c:pt idx="838">
                        <c:v>3.2378779946514511</c:v>
                      </c:pt>
                      <c:pt idx="839">
                        <c:v>3.2406480738596848</c:v>
                      </c:pt>
                      <c:pt idx="840">
                        <c:v>3.2434042409291202</c:v>
                      </c:pt>
                      <c:pt idx="841">
                        <c:v>3.2461464554851167</c:v>
                      </c:pt>
                      <c:pt idx="842">
                        <c:v>3.2488746771530348</c:v>
                      </c:pt>
                      <c:pt idx="843">
                        <c:v>3.2515888655582348</c:v>
                      </c:pt>
                      <c:pt idx="844">
                        <c:v>3.2542889803260771</c:v>
                      </c:pt>
                      <c:pt idx="845">
                        <c:v>3.2569749810819202</c:v>
                      </c:pt>
                      <c:pt idx="846">
                        <c:v>3.2596468274511254</c:v>
                      </c:pt>
                      <c:pt idx="847">
                        <c:v>3.2623044790590519</c:v>
                      </c:pt>
                      <c:pt idx="848">
                        <c:v>3.2649478955310602</c:v>
                      </c:pt>
                      <c:pt idx="849">
                        <c:v>3.2675770364925114</c:v>
                      </c:pt>
                      <c:pt idx="850">
                        <c:v>3.2701918615687635</c:v>
                      </c:pt>
                      <c:pt idx="851">
                        <c:v>3.2727923303851769</c:v>
                      </c:pt>
                      <c:pt idx="852">
                        <c:v>3.2753784025671129</c:v>
                      </c:pt>
                      <c:pt idx="853">
                        <c:v>3.2779500377399309</c:v>
                      </c:pt>
                      <c:pt idx="854">
                        <c:v>3.2805071955289904</c:v>
                      </c:pt>
                      <c:pt idx="855">
                        <c:v>3.2830498355596527</c:v>
                      </c:pt>
                      <c:pt idx="856">
                        <c:v>3.2855779174572763</c:v>
                      </c:pt>
                      <c:pt idx="857">
                        <c:v>3.2880914008472217</c:v>
                      </c:pt>
                      <c:pt idx="858">
                        <c:v>3.2905902453548492</c:v>
                      </c:pt>
                      <c:pt idx="859">
                        <c:v>3.2930744106055192</c:v>
                      </c:pt>
                      <c:pt idx="860">
                        <c:v>3.2955438562245911</c:v>
                      </c:pt>
                      <c:pt idx="861">
                        <c:v>3.2979985418374245</c:v>
                      </c:pt>
                      <c:pt idx="862">
                        <c:v>3.3004384270693814</c:v>
                      </c:pt>
                      <c:pt idx="863">
                        <c:v>3.3028634715458187</c:v>
                      </c:pt>
                      <c:pt idx="864">
                        <c:v>3.3052736348920995</c:v>
                      </c:pt>
                      <c:pt idx="865">
                        <c:v>3.3076688767335813</c:v>
                      </c:pt>
                      <c:pt idx="866">
                        <c:v>3.3100491566956265</c:v>
                      </c:pt>
                      <c:pt idx="867">
                        <c:v>3.312414434403594</c:v>
                      </c:pt>
                      <c:pt idx="868">
                        <c:v>3.3147646694828428</c:v>
                      </c:pt>
                      <c:pt idx="869">
                        <c:v>3.3170998215587351</c:v>
                      </c:pt>
                      <c:pt idx="870">
                        <c:v>3.3194198502566286</c:v>
                      </c:pt>
                      <c:pt idx="871">
                        <c:v>3.3217247152018845</c:v>
                      </c:pt>
                      <c:pt idx="872">
                        <c:v>3.3240143760198633</c:v>
                      </c:pt>
                      <c:pt idx="873">
                        <c:v>3.3262887923359243</c:v>
                      </c:pt>
                      <c:pt idx="874">
                        <c:v>3.3285479237754276</c:v>
                      </c:pt>
                      <c:pt idx="875">
                        <c:v>3.3307917299637335</c:v>
                      </c:pt>
                      <c:pt idx="876">
                        <c:v>3.3330201705262024</c:v>
                      </c:pt>
                      <c:pt idx="877">
                        <c:v>3.3352332050881928</c:v>
                      </c:pt>
                      <c:pt idx="878">
                        <c:v>3.337430793275066</c:v>
                      </c:pt>
                      <c:pt idx="879">
                        <c:v>3.3396128947121824</c:v>
                      </c:pt>
                      <c:pt idx="880">
                        <c:v>3.3417794690249005</c:v>
                      </c:pt>
                      <c:pt idx="881">
                        <c:v>3.3439304758385822</c:v>
                      </c:pt>
                      <c:pt idx="882">
                        <c:v>3.3460658747785859</c:v>
                      </c:pt>
                      <c:pt idx="883">
                        <c:v>3.3481856254702724</c:v>
                      </c:pt>
                      <c:pt idx="884">
                        <c:v>3.3502896875390009</c:v>
                      </c:pt>
                      <c:pt idx="885">
                        <c:v>3.352378020610133</c:v>
                      </c:pt>
                      <c:pt idx="886">
                        <c:v>3.3544505843090278</c:v>
                      </c:pt>
                      <c:pt idx="887">
                        <c:v>3.3565073382610446</c:v>
                      </c:pt>
                      <c:pt idx="888">
                        <c:v>3.3585482420915453</c:v>
                      </c:pt>
                      <c:pt idx="889">
                        <c:v>3.3605732554258876</c:v>
                      </c:pt>
                      <c:pt idx="890">
                        <c:v>3.3625823378894335</c:v>
                      </c:pt>
                      <c:pt idx="891">
                        <c:v>3.3645754491075417</c:v>
                      </c:pt>
                      <c:pt idx="892">
                        <c:v>3.3665525487055739</c:v>
                      </c:pt>
                      <c:pt idx="893">
                        <c:v>3.3685135963088877</c:v>
                      </c:pt>
                      <c:pt idx="894">
                        <c:v>3.3704585515428445</c:v>
                      </c:pt>
                      <c:pt idx="895">
                        <c:v>3.372387374032805</c:v>
                      </c:pt>
                      <c:pt idx="896">
                        <c:v>3.3743000234041283</c:v>
                      </c:pt>
                      <c:pt idx="897">
                        <c:v>3.3761964592821747</c:v>
                      </c:pt>
                      <c:pt idx="898">
                        <c:v>3.3780766412923038</c:v>
                      </c:pt>
                      <c:pt idx="899">
                        <c:v>3.3799405290598763</c:v>
                      </c:pt>
                      <c:pt idx="900">
                        <c:v>3.3817880822102517</c:v>
                      </c:pt>
                      <c:pt idx="901">
                        <c:v>3.3836192603687896</c:v>
                      </c:pt>
                      <c:pt idx="902">
                        <c:v>3.3854340231608515</c:v>
                      </c:pt>
                      <c:pt idx="903">
                        <c:v>3.3872323302117966</c:v>
                      </c:pt>
                      <c:pt idx="904">
                        <c:v>3.3890141411469843</c:v>
                      </c:pt>
                      <c:pt idx="905">
                        <c:v>3.390779415591775</c:v>
                      </c:pt>
                      <c:pt idx="906">
                        <c:v>3.3925281131715295</c:v>
                      </c:pt>
                      <c:pt idx="907">
                        <c:v>3.3942601935116072</c:v>
                      </c:pt>
                      <c:pt idx="908">
                        <c:v>3.3959756162373682</c:v>
                      </c:pt>
                      <c:pt idx="909">
                        <c:v>3.3976743409741728</c:v>
                      </c:pt>
                      <c:pt idx="910">
                        <c:v>3.3993563273473799</c:v>
                      </c:pt>
                      <c:pt idx="911">
                        <c:v>3.4010215349823505</c:v>
                      </c:pt>
                      <c:pt idx="912">
                        <c:v>3.4026699235044449</c:v>
                      </c:pt>
                      <c:pt idx="913">
                        <c:v>3.4043014525390221</c:v>
                      </c:pt>
                      <c:pt idx="914">
                        <c:v>3.4059160817114433</c:v>
                      </c:pt>
                      <c:pt idx="915">
                        <c:v>3.4075137706470682</c:v>
                      </c:pt>
                      <c:pt idx="916">
                        <c:v>3.4090944789712561</c:v>
                      </c:pt>
                      <c:pt idx="917">
                        <c:v>3.4106581663093682</c:v>
                      </c:pt>
                      <c:pt idx="918">
                        <c:v>3.4122047922867629</c:v>
                      </c:pt>
                      <c:pt idx="919">
                        <c:v>3.4137343165288017</c:v>
                      </c:pt>
                      <c:pt idx="920">
                        <c:v>3.4152466986608432</c:v>
                      </c:pt>
                      <c:pt idx="921">
                        <c:v>3.4167418983082496</c:v>
                      </c:pt>
                      <c:pt idx="922">
                        <c:v>3.418219875096379</c:v>
                      </c:pt>
                      <c:pt idx="923">
                        <c:v>3.4196805886505919</c:v>
                      </c:pt>
                      <c:pt idx="924">
                        <c:v>3.4211239985962489</c:v>
                      </c:pt>
                      <c:pt idx="925">
                        <c:v>3.4225500645587097</c:v>
                      </c:pt>
                      <c:pt idx="926">
                        <c:v>3.4239587461633336</c:v>
                      </c:pt>
                      <c:pt idx="927">
                        <c:v>3.4253500030354815</c:v>
                      </c:pt>
                      <c:pt idx="928">
                        <c:v>3.4267237948005134</c:v>
                      </c:pt>
                      <c:pt idx="929">
                        <c:v>3.428080081083789</c:v>
                      </c:pt>
                      <c:pt idx="930">
                        <c:v>3.4294188215106689</c:v>
                      </c:pt>
                      <c:pt idx="931">
                        <c:v>3.430739975706512</c:v>
                      </c:pt>
                      <c:pt idx="932">
                        <c:v>3.4320435032966787</c:v>
                      </c:pt>
                      <c:pt idx="933">
                        <c:v>3.4333293639065303</c:v>
                      </c:pt>
                      <c:pt idx="934">
                        <c:v>3.4345975171614254</c:v>
                      </c:pt>
                      <c:pt idx="935">
                        <c:v>3.4358479226867247</c:v>
                      </c:pt>
                      <c:pt idx="936">
                        <c:v>3.4370805401077869</c:v>
                      </c:pt>
                      <c:pt idx="937">
                        <c:v>3.438295329049974</c:v>
                      </c:pt>
                      <c:pt idx="938">
                        <c:v>3.4394922491386453</c:v>
                      </c:pt>
                      <c:pt idx="939">
                        <c:v>3.44067125999916</c:v>
                      </c:pt>
                      <c:pt idx="940">
                        <c:v>3.4418323212568795</c:v>
                      </c:pt>
                      <c:pt idx="941">
                        <c:v>3.4429753925371633</c:v>
                      </c:pt>
                      <c:pt idx="942">
                        <c:v>3.44410043346537</c:v>
                      </c:pt>
                      <c:pt idx="943">
                        <c:v>3.4452074036668616</c:v>
                      </c:pt>
                      <c:pt idx="944">
                        <c:v>3.4462962627669977</c:v>
                      </c:pt>
                      <c:pt idx="945">
                        <c:v>3.4473669703911374</c:v>
                      </c:pt>
                      <c:pt idx="946">
                        <c:v>3.4484194861646418</c:v>
                      </c:pt>
                      <c:pt idx="947">
                        <c:v>3.4494537697128704</c:v>
                      </c:pt>
                      <c:pt idx="948">
                        <c:v>3.4504697806611833</c:v>
                      </c:pt>
                      <c:pt idx="949">
                        <c:v>3.4514674786349406</c:v>
                      </c:pt>
                      <c:pt idx="950">
                        <c:v>3.4524468232595016</c:v>
                      </c:pt>
                      <c:pt idx="951">
                        <c:v>3.4534077741602269</c:v>
                      </c:pt>
                      <c:pt idx="952">
                        <c:v>3.4543502909624779</c:v>
                      </c:pt>
                      <c:pt idx="953">
                        <c:v>3.4552743332916123</c:v>
                      </c:pt>
                      <c:pt idx="954">
                        <c:v>3.4561798607729908</c:v>
                      </c:pt>
                      <c:pt idx="955">
                        <c:v>3.4570668330319747</c:v>
                      </c:pt>
                      <c:pt idx="956">
                        <c:v>3.4579352096939227</c:v>
                      </c:pt>
                      <c:pt idx="957">
                        <c:v>3.4587849503841954</c:v>
                      </c:pt>
                      <c:pt idx="958">
                        <c:v>3.4596160147281525</c:v>
                      </c:pt>
                      <c:pt idx="959">
                        <c:v>3.4604283623511543</c:v>
                      </c:pt>
                      <c:pt idx="960">
                        <c:v>3.4612219528785606</c:v>
                      </c:pt>
                      <c:pt idx="961">
                        <c:v>3.461996745935731</c:v>
                      </c:pt>
                      <c:pt idx="962">
                        <c:v>3.4627527011480268</c:v>
                      </c:pt>
                      <c:pt idx="963">
                        <c:v>3.4634897781408065</c:v>
                      </c:pt>
                      <c:pt idx="964">
                        <c:v>3.4642079365394318</c:v>
                      </c:pt>
                      <c:pt idx="965">
                        <c:v>3.4649071359692614</c:v>
                      </c:pt>
                      <c:pt idx="966">
                        <c:v>3.4655873360556555</c:v>
                      </c:pt>
                      <c:pt idx="967">
                        <c:v>3.4662484964239741</c:v>
                      </c:pt>
                      <c:pt idx="968">
                        <c:v>3.4668905766995777</c:v>
                      </c:pt>
                      <c:pt idx="969">
                        <c:v>3.4675135365078269</c:v>
                      </c:pt>
                      <c:pt idx="970">
                        <c:v>3.4681173354740804</c:v>
                      </c:pt>
                      <c:pt idx="971">
                        <c:v>3.468701933223699</c:v>
                      </c:pt>
                      <c:pt idx="972">
                        <c:v>3.4692672893820422</c:v>
                      </c:pt>
                      <c:pt idx="973">
                        <c:v>3.4698133635744708</c:v>
                      </c:pt>
                      <c:pt idx="974">
                        <c:v>3.4703401154263438</c:v>
                      </c:pt>
                      <c:pt idx="975">
                        <c:v>3.4708475045630216</c:v>
                      </c:pt>
                      <c:pt idx="976">
                        <c:v>3.4713354906098641</c:v>
                      </c:pt>
                      <c:pt idx="977">
                        <c:v>3.4718040331922326</c:v>
                      </c:pt>
                      <c:pt idx="978">
                        <c:v>3.4722530919354857</c:v>
                      </c:pt>
                      <c:pt idx="979">
                        <c:v>3.4726826264649842</c:v>
                      </c:pt>
                      <c:pt idx="980">
                        <c:v>3.4730925964060875</c:v>
                      </c:pt>
                      <c:pt idx="981">
                        <c:v>3.473482961384156</c:v>
                      </c:pt>
                      <c:pt idx="982">
                        <c:v>3.4738536810245493</c:v>
                      </c:pt>
                      <c:pt idx="983">
                        <c:v>3.4742047149526281</c:v>
                      </c:pt>
                      <c:pt idx="984">
                        <c:v>3.4745360227937518</c:v>
                      </c:pt>
                      <c:pt idx="985">
                        <c:v>3.4748475641732814</c:v>
                      </c:pt>
                      <c:pt idx="986">
                        <c:v>3.4751392987165755</c:v>
                      </c:pt>
                      <c:pt idx="987">
                        <c:v>3.4754111860489951</c:v>
                      </c:pt>
                      <c:pt idx="988">
                        <c:v>3.4756631857959008</c:v>
                      </c:pt>
                      <c:pt idx="989">
                        <c:v>3.4758952575826507</c:v>
                      </c:pt>
                      <c:pt idx="990">
                        <c:v>3.4761073610346065</c:v>
                      </c:pt>
                      <c:pt idx="991">
                        <c:v>3.4762994557771276</c:v>
                      </c:pt>
                      <c:pt idx="992">
                        <c:v>3.4764715014355736</c:v>
                      </c:pt>
                      <c:pt idx="993">
                        <c:v>3.4766234576353057</c:v>
                      </c:pt>
                      <c:pt idx="994">
                        <c:v>3.4767552840016829</c:v>
                      </c:pt>
                      <c:pt idx="995">
                        <c:v>3.4768669401600656</c:v>
                      </c:pt>
                      <c:pt idx="996">
                        <c:v>3.4769583857358137</c:v>
                      </c:pt>
                      <c:pt idx="997">
                        <c:v>3.4770295803542877</c:v>
                      </c:pt>
                      <c:pt idx="998">
                        <c:v>3.4770804836408473</c:v>
                      </c:pt>
                      <c:pt idx="999">
                        <c:v>3.4771110552208522</c:v>
                      </c:pt>
                      <c:pt idx="1000">
                        <c:v>3.4771212547196626</c:v>
                      </c:pt>
                      <c:pt idx="1001">
                        <c:v>3.4771212547196626</c:v>
                      </c:pt>
                      <c:pt idx="1002">
                        <c:v>3.4771212547196626</c:v>
                      </c:pt>
                      <c:pt idx="1003">
                        <c:v>3.4771212547196626</c:v>
                      </c:pt>
                      <c:pt idx="1004">
                        <c:v>3.4771212547196626</c:v>
                      </c:pt>
                      <c:pt idx="1005">
                        <c:v>3.4771212547196626</c:v>
                      </c:pt>
                      <c:pt idx="1006">
                        <c:v>3.4771212547196626</c:v>
                      </c:pt>
                      <c:pt idx="1007">
                        <c:v>3.4771212547196626</c:v>
                      </c:pt>
                      <c:pt idx="1008">
                        <c:v>3.4771212547196626</c:v>
                      </c:pt>
                      <c:pt idx="1009">
                        <c:v>3.4771212547196626</c:v>
                      </c:pt>
                      <c:pt idx="1010">
                        <c:v>3.4771212547196626</c:v>
                      </c:pt>
                      <c:pt idx="1011">
                        <c:v>3.4771212547196626</c:v>
                      </c:pt>
                      <c:pt idx="1012">
                        <c:v>3.4771212547196626</c:v>
                      </c:pt>
                      <c:pt idx="1013">
                        <c:v>3.4771212547196626</c:v>
                      </c:pt>
                      <c:pt idx="1014">
                        <c:v>3.4771212547196626</c:v>
                      </c:pt>
                      <c:pt idx="1015">
                        <c:v>3.4771212547196626</c:v>
                      </c:pt>
                      <c:pt idx="1016">
                        <c:v>3.4771212547196626</c:v>
                      </c:pt>
                      <c:pt idx="1017">
                        <c:v>3.4771212547196626</c:v>
                      </c:pt>
                      <c:pt idx="1018">
                        <c:v>3.4771212547196626</c:v>
                      </c:pt>
                      <c:pt idx="1019">
                        <c:v>3.4771212547196626</c:v>
                      </c:pt>
                      <c:pt idx="1020">
                        <c:v>3.4771212547196626</c:v>
                      </c:pt>
                      <c:pt idx="1021">
                        <c:v>3.4771212547196626</c:v>
                      </c:pt>
                      <c:pt idx="1022">
                        <c:v>3.4771212547196626</c:v>
                      </c:pt>
                      <c:pt idx="1023">
                        <c:v>3.4771212547196626</c:v>
                      </c:pt>
                      <c:pt idx="1024">
                        <c:v>3.4771212547196626</c:v>
                      </c:pt>
                      <c:pt idx="1025">
                        <c:v>3.4771212547196626</c:v>
                      </c:pt>
                      <c:pt idx="1026">
                        <c:v>3.4771212547196626</c:v>
                      </c:pt>
                      <c:pt idx="1027">
                        <c:v>3.4771212547196626</c:v>
                      </c:pt>
                      <c:pt idx="1028">
                        <c:v>3.4771212547196626</c:v>
                      </c:pt>
                      <c:pt idx="1029">
                        <c:v>3.4771212547196626</c:v>
                      </c:pt>
                      <c:pt idx="1030">
                        <c:v>3.4771212547196626</c:v>
                      </c:pt>
                      <c:pt idx="1031">
                        <c:v>3.4771212547196626</c:v>
                      </c:pt>
                      <c:pt idx="1032">
                        <c:v>3.4771212547196626</c:v>
                      </c:pt>
                      <c:pt idx="1033">
                        <c:v>3.4771212547196626</c:v>
                      </c:pt>
                      <c:pt idx="1034">
                        <c:v>3.4771212547196626</c:v>
                      </c:pt>
                      <c:pt idx="1035">
                        <c:v>3.4771212547196626</c:v>
                      </c:pt>
                      <c:pt idx="1036">
                        <c:v>3.4771212547196626</c:v>
                      </c:pt>
                      <c:pt idx="1037">
                        <c:v>3.4771212547196626</c:v>
                      </c:pt>
                      <c:pt idx="1038">
                        <c:v>3.4771212547196626</c:v>
                      </c:pt>
                      <c:pt idx="1039">
                        <c:v>3.4771212547196626</c:v>
                      </c:pt>
                      <c:pt idx="1040">
                        <c:v>3.4771212547196626</c:v>
                      </c:pt>
                      <c:pt idx="1041">
                        <c:v>3.4771212547196626</c:v>
                      </c:pt>
                      <c:pt idx="1042">
                        <c:v>3.4771212547196626</c:v>
                      </c:pt>
                      <c:pt idx="1043">
                        <c:v>3.4771212547196626</c:v>
                      </c:pt>
                      <c:pt idx="1044">
                        <c:v>3.4771212547196626</c:v>
                      </c:pt>
                      <c:pt idx="1045">
                        <c:v>3.4771212547196626</c:v>
                      </c:pt>
                      <c:pt idx="1046">
                        <c:v>3.4771212547196626</c:v>
                      </c:pt>
                      <c:pt idx="1047">
                        <c:v>3.4771212547196626</c:v>
                      </c:pt>
                      <c:pt idx="1048">
                        <c:v>3.4771212547196626</c:v>
                      </c:pt>
                      <c:pt idx="1049">
                        <c:v>3.4771212547196626</c:v>
                      </c:pt>
                      <c:pt idx="1050">
                        <c:v>3.4771212547196626</c:v>
                      </c:pt>
                    </c:numCache>
                  </c:numRef>
                </c:yVal>
                <c:smooth val="1"/>
                <c:extLst>
                  <c:ext xmlns:c16="http://schemas.microsoft.com/office/drawing/2014/chart" uri="{C3380CC4-5D6E-409C-BE32-E72D297353CC}">
                    <c16:uniqueId val="{00000007-84F1-46C8-AF31-43A1F270F1CB}"/>
                  </c:ext>
                </c:extLst>
              </c15:ser>
            </c15:filteredScatterSeries>
          </c:ext>
        </c:extLst>
      </c:scatterChart>
      <c:valAx>
        <c:axId val="1292577295"/>
        <c:scaling>
          <c:orientation val="minMax"/>
          <c:max val="100"/>
        </c:scaling>
        <c:delete val="0"/>
        <c:axPos val="b"/>
        <c:majorGridlines>
          <c:spPr>
            <a:ln>
              <a:solidFill>
                <a:schemeClr val="bg1">
                  <a:lumMod val="95000"/>
                </a:schemeClr>
              </a:solidFill>
            </a:ln>
            <a:effectLst/>
          </c:spPr>
        </c:majorGridlines>
        <c:title>
          <c:tx>
            <c:rich>
              <a:bodyPr/>
              <a:lstStyle/>
              <a:p>
                <a:pPr>
                  <a:defRPr/>
                </a:pPr>
                <a:r>
                  <a:rPr lang="en-GB"/>
                  <a:t>t (years)</a:t>
                </a:r>
              </a:p>
              <a:p>
                <a:pPr>
                  <a:defRPr/>
                </a:pPr>
                <a:endParaRPr lang="en-GB"/>
              </a:p>
            </c:rich>
          </c:tx>
          <c:overlay val="0"/>
        </c:title>
        <c:numFmt formatCode="General" sourceLinked="1"/>
        <c:majorTickMark val="in"/>
        <c:minorTickMark val="in"/>
        <c:tickLblPos val="low"/>
        <c:spPr>
          <a:noFill/>
          <a:ln w="9525" cap="flat" cmpd="sng" algn="ctr">
            <a:solidFill>
              <a:schemeClr val="bg1">
                <a:lumMod val="50000"/>
              </a:schemeClr>
            </a:solidFill>
            <a:round/>
          </a:ln>
          <a:effectLst/>
        </c:spPr>
        <c:txPr>
          <a:bodyPr rot="0" spcFirstLastPara="1" vertOverflow="ellipsis" vert="horz" wrap="square" anchor="b" anchorCtr="0"/>
          <a:lstStyle/>
          <a:p>
            <a:pPr>
              <a:defRPr sz="900" b="0" i="0" u="none" strike="noStrike" kern="1200" baseline="0">
                <a:solidFill>
                  <a:sysClr val="windowText" lastClr="000000"/>
                </a:solidFill>
                <a:latin typeface="+mn-lt"/>
                <a:ea typeface="+mn-ea"/>
                <a:cs typeface="+mn-cs"/>
              </a:defRPr>
            </a:pPr>
            <a:endParaRPr lang="en-US"/>
          </a:p>
        </c:txPr>
        <c:crossAx val="1296221023"/>
        <c:crosses val="autoZero"/>
        <c:crossBetween val="midCat"/>
      </c:valAx>
      <c:valAx>
        <c:axId val="1296221023"/>
        <c:scaling>
          <c:orientation val="minMax"/>
        </c:scaling>
        <c:delete val="0"/>
        <c:axPos val="l"/>
        <c:majorGridlines>
          <c:spPr>
            <a:ln>
              <a:solidFill>
                <a:schemeClr val="bg1">
                  <a:lumMod val="95000"/>
                </a:schemeClr>
              </a:solidFill>
            </a:ln>
            <a:effectLst/>
          </c:spPr>
        </c:majorGridlines>
        <c:title>
          <c:tx>
            <c:rich>
              <a:bodyPr/>
              <a:lstStyle/>
              <a:p>
                <a:pPr>
                  <a:defRPr/>
                </a:pPr>
                <a:r>
                  <a:rPr lang="en-GB"/>
                  <a:t>Operational Plnats (N)</a:t>
                </a:r>
              </a:p>
            </c:rich>
          </c:tx>
          <c:overlay val="0"/>
        </c:title>
        <c:numFmt formatCode="General" sourceLinked="1"/>
        <c:majorTickMark val="in"/>
        <c:minorTickMark val="in"/>
        <c:tickLblPos val="nextTo"/>
        <c:spPr>
          <a:noFill/>
          <a:ln w="9525" cap="flat" cmpd="sng" algn="ctr">
            <a:solidFill>
              <a:schemeClr val="bg1">
                <a:lumMod val="50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292577295"/>
        <c:crosses val="autoZero"/>
        <c:crossBetween val="midCat"/>
      </c:valAx>
      <c:spPr>
        <a:ln>
          <a:solidFill>
            <a:schemeClr val="tx1">
              <a:lumMod val="25000"/>
              <a:lumOff val="75000"/>
            </a:schemeClr>
          </a:solidFill>
        </a:ln>
      </c:spPr>
    </c:plotArea>
    <c:plotVisOnly val="1"/>
    <c:dispBlanksAs val="gap"/>
    <c:showDLblsOverMax val="0"/>
    <c:extLst/>
  </c:chart>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Overnight Cost over time</a:t>
            </a:r>
            <a:endParaRPr lang="en-GB" baseline="0"/>
          </a:p>
        </c:rich>
      </c:tx>
      <c:layout>
        <c:manualLayout>
          <c:xMode val="edge"/>
          <c:yMode val="edge"/>
          <c:x val="0.31529398950954463"/>
          <c:y val="2.2092455206105019E-2"/>
        </c:manualLayout>
      </c:layout>
      <c:overlay val="0"/>
      <c:spPr>
        <a:noFill/>
        <a:ln>
          <a:noFill/>
        </a:ln>
        <a:effectLst/>
      </c:spPr>
    </c:title>
    <c:autoTitleDeleted val="0"/>
    <c:plotArea>
      <c:layout/>
      <c:scatterChart>
        <c:scatterStyle val="smoothMarker"/>
        <c:varyColors val="0"/>
        <c:ser>
          <c:idx val="0"/>
          <c:order val="0"/>
          <c:tx>
            <c:v>Overnight Cost</c:v>
          </c:tx>
          <c:marker>
            <c:symbol val="diamond"/>
            <c:size val="4"/>
          </c:marker>
          <c:xVal>
            <c:numRef>
              <c:f>Sheet1!$AB$8:$AB$108</c:f>
              <c:numCache>
                <c:formatCode>0</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Sheet1!$AE$8:$AE$108</c:f>
              <c:numCache>
                <c:formatCode>0.0000</c:formatCode>
                <c:ptCount val="101"/>
                <c:pt idx="1">
                  <c:v>20</c:v>
                </c:pt>
                <c:pt idx="2">
                  <c:v>19.481000257907517</c:v>
                </c:pt>
                <c:pt idx="3">
                  <c:v>18.976633523074177</c:v>
                </c:pt>
                <c:pt idx="4">
                  <c:v>18.486183749254739</c:v>
                </c:pt>
                <c:pt idx="5">
                  <c:v>18.009153580717527</c:v>
                </c:pt>
                <c:pt idx="6">
                  <c:v>17.545111903202198</c:v>
                </c:pt>
                <c:pt idx="7">
                  <c:v>17.09366343335067</c:v>
                </c:pt>
                <c:pt idx="8">
                  <c:v>16.654437339815694</c:v>
                </c:pt>
                <c:pt idx="9">
                  <c:v>16.227081767564805</c:v>
                </c:pt>
                <c:pt idx="10">
                  <c:v>15.811260327891619</c:v>
                </c:pt>
                <c:pt idx="11">
                  <c:v>15.40665023767126</c:v>
                </c:pt>
                <c:pt idx="12">
                  <c:v>15.012940865650467</c:v>
                </c:pt>
                <c:pt idx="13">
                  <c:v>14.629833043914442</c:v>
                </c:pt>
                <c:pt idx="14">
                  <c:v>14.257037061985525</c:v>
                </c:pt>
                <c:pt idx="15">
                  <c:v>13.894273675649082</c:v>
                </c:pt>
                <c:pt idx="16">
                  <c:v>13.541272713947091</c:v>
                </c:pt>
                <c:pt idx="17">
                  <c:v>13.197772792289324</c:v>
                </c:pt>
                <c:pt idx="18">
                  <c:v>12.863520804363592</c:v>
                </c:pt>
                <c:pt idx="19">
                  <c:v>12.538272251905887</c:v>
                </c:pt>
                <c:pt idx="20">
                  <c:v>12.221789337642841</c:v>
                </c:pt>
                <c:pt idx="21">
                  <c:v>11.913843810156804</c:v>
                </c:pt>
                <c:pt idx="22">
                  <c:v>11.614213040866634</c:v>
                </c:pt>
                <c:pt idx="23">
                  <c:v>11.322682522290798</c:v>
                </c:pt>
                <c:pt idx="24">
                  <c:v>11.039044870562202</c:v>
                </c:pt>
                <c:pt idx="25">
                  <c:v>10.763099693564461</c:v>
                </c:pt>
                <c:pt idx="26">
                  <c:v>10.49465354890298</c:v>
                </c:pt>
                <c:pt idx="27">
                  <c:v>10.233519928225155</c:v>
                </c:pt>
                <c:pt idx="28">
                  <c:v>9.9795192719909398</c:v>
                </c:pt>
                <c:pt idx="29">
                  <c:v>9.7324790197879807</c:v>
                </c:pt>
                <c:pt idx="30">
                  <c:v>9.4922337025464056</c:v>
                </c:pt>
                <c:pt idx="31">
                  <c:v>9.2586252330626202</c:v>
                </c:pt>
                <c:pt idx="32">
                  <c:v>9.0301169393219887</c:v>
                </c:pt>
                <c:pt idx="33">
                  <c:v>8.8082139983275525</c:v>
                </c:pt>
                <c:pt idx="34">
                  <c:v>8.5927344945647448</c:v>
                </c:pt>
                <c:pt idx="35">
                  <c:v>8.3835137523492644</c:v>
                </c:pt>
                <c:pt idx="36">
                  <c:v>8.1804054079590625</c:v>
                </c:pt>
                <c:pt idx="37">
                  <c:v>7.9832798294582172</c:v>
                </c:pt>
                <c:pt idx="38">
                  <c:v>7.7920243739276183</c:v>
                </c:pt>
                <c:pt idx="39">
                  <c:v>7.6065470466156304</c:v>
                </c:pt>
                <c:pt idx="40">
                  <c:v>7.4267774846623125</c:v>
                </c:pt>
                <c:pt idx="41">
                  <c:v>7.2526734727076025</c:v>
                </c:pt>
                <c:pt idx="42">
                  <c:v>7.0842248867128035</c:v>
                </c:pt>
                <c:pt idx="43">
                  <c:v>6.9214684287999608</c:v>
                </c:pt>
                <c:pt idx="44">
                  <c:v>6.7645025808064094</c:v>
                </c:pt>
                <c:pt idx="45">
                  <c:v>6.6135185909075034</c:v>
                </c:pt>
                <c:pt idx="46">
                  <c:v>6.4688558136077825</c:v>
                </c:pt>
                <c:pt idx="47">
                  <c:v>6.3311037406033073</c:v>
                </c:pt>
                <c:pt idx="48">
                  <c:v>6.2013361328120542</c:v>
                </c:pt>
                <c:pt idx="49">
                  <c:v>6.08170162049253</c:v>
                </c:pt>
                <c:pt idx="50">
                  <c:v>5.9775459620192564</c:v>
                </c:pt>
                <c:pt idx="51">
                  <c:v>5.913672288250627</c:v>
                </c:pt>
                <c:pt idx="52">
                  <c:v>5.9120388138612636</c:v>
                </c:pt>
                <c:pt idx="53">
                  <c:v>5.9101158390573669</c:v>
                </c:pt>
                <c:pt idx="54">
                  <c:v>5.9078539365592597</c:v>
                </c:pt>
                <c:pt idx="55">
                  <c:v>5.9051958301625014</c:v>
                </c:pt>
                <c:pt idx="56">
                  <c:v>5.902075344592336</c:v>
                </c:pt>
                <c:pt idx="57">
                  <c:v>5.8984162838441021</c:v>
                </c:pt>
                <c:pt idx="58">
                  <c:v>5.8941312604285958</c:v>
                </c:pt>
                <c:pt idx="59">
                  <c:v>5.8891205111138314</c:v>
                </c:pt>
                <c:pt idx="60">
                  <c:v>5.8832707518326934</c:v>
                </c:pt>
                <c:pt idx="61">
                  <c:v>5.876454150610213</c:v>
                </c:pt>
                <c:pt idx="62">
                  <c:v>5.8684746612306267</c:v>
                </c:pt>
                <c:pt idx="63">
                  <c:v>5.8592176515804777</c:v>
                </c:pt>
                <c:pt idx="64">
                  <c:v>5.8485072264469826</c:v>
                </c:pt>
                <c:pt idx="65">
                  <c:v>5.8361524101315645</c:v>
                </c:pt>
                <c:pt idx="66">
                  <c:v>5.8219490215879608</c:v>
                </c:pt>
                <c:pt idx="67">
                  <c:v>5.8056826348992061</c:v>
                </c:pt>
                <c:pt idx="68">
                  <c:v>5.7871330994562555</c:v>
                </c:pt>
                <c:pt idx="69">
                  <c:v>5.7660811766855113</c:v>
                </c:pt>
                <c:pt idx="70">
                  <c:v>5.7423170236887895</c:v>
                </c:pt>
                <c:pt idx="71">
                  <c:v>5.7156516065638305</c:v>
                </c:pt>
                <c:pt idx="72">
                  <c:v>5.6859302832655061</c:v>
                </c:pt>
                <c:pt idx="73">
                  <c:v>5.6530507853510823</c:v>
                </c:pt>
                <c:pt idx="74">
                  <c:v>5.616984574502851</c:v>
                </c:pt>
                <c:pt idx="75">
                  <c:v>5.5778054309498151</c:v>
                </c:pt>
                <c:pt idx="76">
                  <c:v>5.5357303793154733</c:v>
                </c:pt>
                <c:pt idx="77">
                  <c:v>5.4911848987777576</c:v>
                </c:pt>
                <c:pt idx="78">
                  <c:v>5.444932981845044</c:v>
                </c:pt>
                <c:pt idx="79">
                  <c:v>5.3983879948784068</c:v>
                </c:pt>
                <c:pt idx="80">
                  <c:v>5.3546738810727055</c:v>
                </c:pt>
                <c:pt idx="81">
                  <c:v>5.326350187029691</c:v>
                </c:pt>
                <c:pt idx="82">
                  <c:v>5.3256104938456215</c:v>
                </c:pt>
                <c:pt idx="83">
                  <c:v>5.3247387177838226</c:v>
                </c:pt>
                <c:pt idx="84">
                  <c:v>5.3237119226679486</c:v>
                </c:pt>
                <c:pt idx="85">
                  <c:v>5.3225033803255686</c:v>
                </c:pt>
                <c:pt idx="86">
                  <c:v>5.3210820041106421</c:v>
                </c:pt>
                <c:pt idx="87">
                  <c:v>5.3194117182637886</c:v>
                </c:pt>
                <c:pt idx="88">
                  <c:v>5.3174507633995951</c:v>
                </c:pt>
                <c:pt idx="89">
                  <c:v>5.3151509419550251</c:v>
                </c:pt>
                <c:pt idx="90">
                  <c:v>5.3124568125194616</c:v>
                </c:pt>
                <c:pt idx="91">
                  <c:v>5.3093048512249199</c:v>
                </c:pt>
                <c:pt idx="92">
                  <c:v>5.3055979899036014</c:v>
                </c:pt>
                <c:pt idx="93">
                  <c:v>5.3012743903538375</c:v>
                </c:pt>
                <c:pt idx="94">
                  <c:v>5.2962407061574499</c:v>
                </c:pt>
                <c:pt idx="95">
                  <c:v>5.2903924578763339</c:v>
                </c:pt>
                <c:pt idx="96">
                  <c:v>5.2836137916414252</c:v>
                </c:pt>
                <c:pt idx="97">
                  <c:v>5.2757775767541268</c:v>
                </c:pt>
                <c:pt idx="98">
                  <c:v>5.2667461073364095</c:v>
                </c:pt>
                <c:pt idx="99">
                  <c:v>5.2563727667474929</c:v>
                </c:pt>
                <c:pt idx="100">
                  <c:v>5.2445046780469786</c:v>
                </c:pt>
              </c:numCache>
            </c:numRef>
          </c:yVal>
          <c:smooth val="1"/>
          <c:extLst>
            <c:ext xmlns:c16="http://schemas.microsoft.com/office/drawing/2014/chart" uri="{C3380CC4-5D6E-409C-BE32-E72D297353CC}">
              <c16:uniqueId val="{00000005-9683-4900-AACF-68A4CF2E5DDA}"/>
            </c:ext>
          </c:extLst>
        </c:ser>
        <c:dLbls>
          <c:showLegendKey val="0"/>
          <c:showVal val="0"/>
          <c:showCatName val="0"/>
          <c:showSerName val="0"/>
          <c:showPercent val="0"/>
          <c:showBubbleSize val="0"/>
        </c:dLbls>
        <c:axId val="1292577295"/>
        <c:axId val="1296221023"/>
        <c:extLst/>
      </c:scatterChart>
      <c:valAx>
        <c:axId val="1292577295"/>
        <c:scaling>
          <c:orientation val="minMax"/>
        </c:scaling>
        <c:delete val="0"/>
        <c:axPos val="b"/>
        <c:majorGridlines>
          <c:spPr>
            <a:ln>
              <a:solidFill>
                <a:schemeClr val="bg1">
                  <a:lumMod val="95000"/>
                </a:schemeClr>
              </a:solidFill>
            </a:ln>
            <a:effectLst/>
          </c:spPr>
        </c:majorGridlines>
        <c:title>
          <c:tx>
            <c:rich>
              <a:bodyPr/>
              <a:lstStyle/>
              <a:p>
                <a:pPr>
                  <a:defRPr/>
                </a:pPr>
                <a:r>
                  <a:rPr lang="en-GB"/>
                  <a:t>t (years)</a:t>
                </a:r>
              </a:p>
              <a:p>
                <a:pPr>
                  <a:defRPr/>
                </a:pPr>
                <a:endParaRPr lang="en-GB"/>
              </a:p>
            </c:rich>
          </c:tx>
          <c:overlay val="0"/>
        </c:title>
        <c:numFmt formatCode="0" sourceLinked="1"/>
        <c:majorTickMark val="in"/>
        <c:minorTickMark val="in"/>
        <c:tickLblPos val="low"/>
        <c:spPr>
          <a:noFill/>
          <a:ln w="9525" cap="flat" cmpd="sng" algn="ctr">
            <a:solidFill>
              <a:schemeClr val="tx1">
                <a:lumMod val="25000"/>
                <a:lumOff val="75000"/>
              </a:schemeClr>
            </a:solidFill>
            <a:round/>
          </a:ln>
          <a:effectLst/>
        </c:spPr>
        <c:txPr>
          <a:bodyPr rot="0" spcFirstLastPara="1" vertOverflow="ellipsis" vert="horz" wrap="square" anchor="b" anchorCtr="0"/>
          <a:lstStyle/>
          <a:p>
            <a:pPr>
              <a:defRPr sz="900" b="0" i="0" u="none" strike="noStrike" kern="1200" baseline="0">
                <a:solidFill>
                  <a:schemeClr val="tx1">
                    <a:lumMod val="65000"/>
                    <a:lumOff val="35000"/>
                  </a:schemeClr>
                </a:solidFill>
                <a:latin typeface="+mn-lt"/>
                <a:ea typeface="+mn-ea"/>
                <a:cs typeface="+mn-cs"/>
              </a:defRPr>
            </a:pPr>
            <a:endParaRPr lang="en-US"/>
          </a:p>
        </c:txPr>
        <c:crossAx val="1296221023"/>
        <c:crosses val="autoZero"/>
        <c:crossBetween val="midCat"/>
      </c:valAx>
      <c:valAx>
        <c:axId val="1296221023"/>
        <c:scaling>
          <c:orientation val="minMax"/>
        </c:scaling>
        <c:delete val="0"/>
        <c:axPos val="l"/>
        <c:majorGridlines>
          <c:spPr>
            <a:ln>
              <a:solidFill>
                <a:schemeClr val="bg1">
                  <a:lumMod val="95000"/>
                </a:schemeClr>
              </a:solidFill>
            </a:ln>
            <a:effectLst/>
          </c:spPr>
        </c:majorGridlines>
        <c:title>
          <c:tx>
            <c:rich>
              <a:bodyPr/>
              <a:lstStyle/>
              <a:p>
                <a:pPr>
                  <a:defRPr/>
                </a:pPr>
                <a:r>
                  <a:rPr lang="en-GB"/>
                  <a:t>OC(G$)</a:t>
                </a:r>
              </a:p>
            </c:rich>
          </c:tx>
          <c:overlay val="0"/>
        </c:title>
        <c:numFmt formatCode="0" sourceLinked="0"/>
        <c:majorTickMark val="in"/>
        <c:minorTickMark val="in"/>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2577295"/>
        <c:crosses val="autoZero"/>
        <c:crossBetween val="midCat"/>
      </c:valAx>
      <c:spPr>
        <a:ln>
          <a:solidFill>
            <a:schemeClr val="tx1">
              <a:lumMod val="25000"/>
              <a:lumOff val="75000"/>
            </a:schemeClr>
          </a:solidFill>
        </a:ln>
      </c:spPr>
    </c:plotArea>
    <c:legend>
      <c:legendPos val="r"/>
      <c:layout>
        <c:manualLayout>
          <c:xMode val="edge"/>
          <c:yMode val="edge"/>
          <c:x val="0.72054584203233674"/>
          <c:y val="0.18016779694445706"/>
          <c:w val="0.21528302296387178"/>
          <c:h val="6.9683673933821855E-2"/>
        </c:manualLayout>
      </c:layout>
      <c:overlay val="1"/>
    </c:legend>
    <c:plotVisOnly val="1"/>
    <c:dispBlanksAs val="gap"/>
    <c:showDLblsOverMax val="0"/>
    <c:extLst/>
  </c:chart>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b="0">
                <a:solidFill>
                  <a:schemeClr val="bg2">
                    <a:lumMod val="25000"/>
                  </a:schemeClr>
                </a:solidFill>
              </a:rPr>
              <a:t>Annual Investment (AI) over time</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lotArea>
      <c:layout/>
      <c:scatterChart>
        <c:scatterStyle val="smoothMarker"/>
        <c:varyColors val="0"/>
        <c:ser>
          <c:idx val="0"/>
          <c:order val="0"/>
          <c:tx>
            <c:v>Annual Investment</c:v>
          </c:tx>
          <c:spPr>
            <a:ln w="9525" cap="rnd">
              <a:solidFill>
                <a:srgbClr val="FF0000"/>
              </a:solidFill>
              <a:round/>
            </a:ln>
            <a:effectLst/>
          </c:spPr>
          <c:marker>
            <c:symbol val="diamond"/>
            <c:size val="3"/>
            <c:spPr>
              <a:solidFill>
                <a:srgbClr val="FF0000"/>
              </a:solidFill>
              <a:ln w="9525">
                <a:solidFill>
                  <a:srgbClr val="FF0000"/>
                </a:solidFill>
                <a:round/>
              </a:ln>
              <a:effectLst/>
            </c:spPr>
          </c:marker>
          <c:xVal>
            <c:numRef>
              <c:f>Sheet1!$AB$8:$AB$108</c:f>
              <c:numCache>
                <c:formatCode>0</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extLst xmlns:c15="http://schemas.microsoft.com/office/drawing/2012/chart"/>
            </c:numRef>
          </c:xVal>
          <c:yVal>
            <c:numRef>
              <c:f>Sheet1!$AF$8:$AF$108</c:f>
              <c:numCache>
                <c:formatCode>0.0000</c:formatCode>
                <c:ptCount val="101"/>
                <c:pt idx="1">
                  <c:v>3.7767110369702905</c:v>
                </c:pt>
                <c:pt idx="2">
                  <c:v>4.3622578775529588</c:v>
                </c:pt>
                <c:pt idx="3">
                  <c:v>5.0399647545302635</c:v>
                </c:pt>
                <c:pt idx="4">
                  <c:v>5.8226784705343446</c:v>
                </c:pt>
                <c:pt idx="5">
                  <c:v>6.7261157372689127</c:v>
                </c:pt>
                <c:pt idx="6">
                  <c:v>7.7685121084245274</c:v>
                </c:pt>
                <c:pt idx="7">
                  <c:v>8.9708819161078708</c:v>
                </c:pt>
                <c:pt idx="8">
                  <c:v>10.357390755476931</c:v>
                </c:pt>
                <c:pt idx="9">
                  <c:v>11.955812256187327</c:v>
                </c:pt>
                <c:pt idx="10">
                  <c:v>13.798034498966215</c:v>
                </c:pt>
                <c:pt idx="11">
                  <c:v>15.920654723922011</c:v>
                </c:pt>
                <c:pt idx="12">
                  <c:v>18.365633052141074</c:v>
                </c:pt>
                <c:pt idx="13">
                  <c:v>21.181134872907467</c:v>
                </c:pt>
                <c:pt idx="14">
                  <c:v>24.422262727801112</c:v>
                </c:pt>
                <c:pt idx="15">
                  <c:v>28.15215277760376</c:v>
                </c:pt>
                <c:pt idx="16">
                  <c:v>32.443042537696549</c:v>
                </c:pt>
                <c:pt idx="17">
                  <c:v>37.377550546076193</c:v>
                </c:pt>
                <c:pt idx="18">
                  <c:v>43.049995837402058</c:v>
                </c:pt>
                <c:pt idx="19">
                  <c:v>49.568286731995258</c:v>
                </c:pt>
                <c:pt idx="20">
                  <c:v>57.055016269689901</c:v>
                </c:pt>
                <c:pt idx="21">
                  <c:v>65.650497029328093</c:v>
                </c:pt>
                <c:pt idx="22">
                  <c:v>75.513954604117686</c:v>
                </c:pt>
                <c:pt idx="23">
                  <c:v>86.826524982076393</c:v>
                </c:pt>
                <c:pt idx="24">
                  <c:v>99.793831487949291</c:v>
                </c:pt>
                <c:pt idx="25">
                  <c:v>114.64891177966209</c:v>
                </c:pt>
                <c:pt idx="26">
                  <c:v>131.65540038202764</c:v>
                </c:pt>
                <c:pt idx="27">
                  <c:v>151.11093744028145</c:v>
                </c:pt>
                <c:pt idx="28">
                  <c:v>173.35076737380527</c:v>
                </c:pt>
                <c:pt idx="29">
                  <c:v>198.75146482414769</c:v>
                </c:pt>
                <c:pt idx="30">
                  <c:v>227.7345295423234</c:v>
                </c:pt>
                <c:pt idx="31">
                  <c:v>262.5177454670872</c:v>
                </c:pt>
                <c:pt idx="32">
                  <c:v>300.35569469958619</c:v>
                </c:pt>
                <c:pt idx="33">
                  <c:v>343.38086638103528</c:v>
                </c:pt>
                <c:pt idx="34">
                  <c:v>392.23048748052662</c:v>
                </c:pt>
                <c:pt idx="35">
                  <c:v>447.59280471678693</c:v>
                </c:pt>
                <c:pt idx="36">
                  <c:v>510.20768770533209</c:v>
                </c:pt>
                <c:pt idx="37">
                  <c:v>580.85595270734484</c:v>
                </c:pt>
                <c:pt idx="38">
                  <c:v>660.33240726805263</c:v>
                </c:pt>
                <c:pt idx="39">
                  <c:v>749.4238656244504</c:v>
                </c:pt>
                <c:pt idx="40">
                  <c:v>848.84138029547171</c:v>
                </c:pt>
                <c:pt idx="41">
                  <c:v>959.15379979980662</c:v>
                </c:pt>
                <c:pt idx="42">
                  <c:v>1080.60916248074</c:v>
                </c:pt>
                <c:pt idx="43">
                  <c:v>1212.9220997370373</c:v>
                </c:pt>
                <c:pt idx="44">
                  <c:v>1354.8263948549954</c:v>
                </c:pt>
                <c:pt idx="45">
                  <c:v>1503.2699296414278</c:v>
                </c:pt>
                <c:pt idx="46">
                  <c:v>1651.865337573789</c:v>
                </c:pt>
                <c:pt idx="47">
                  <c:v>1787.2054692798383</c:v>
                </c:pt>
                <c:pt idx="48">
                  <c:v>1879.205331658263</c:v>
                </c:pt>
                <c:pt idx="49">
                  <c:v>1844.0227432685024</c:v>
                </c:pt>
                <c:pt idx="50">
                  <c:v>1235.5834496741588</c:v>
                </c:pt>
                <c:pt idx="51">
                  <c:v>32.586924184891416</c:v>
                </c:pt>
                <c:pt idx="52">
                  <c:v>38.439232088891359</c:v>
                </c:pt>
                <c:pt idx="53">
                  <c:v>45.320958133078406</c:v>
                </c:pt>
                <c:pt idx="54">
                  <c:v>53.407462974682772</c:v>
                </c:pt>
                <c:pt idx="55">
                  <c:v>62.902351093034994</c:v>
                </c:pt>
                <c:pt idx="56">
                  <c:v>74.041519232278304</c:v>
                </c:pt>
                <c:pt idx="57">
                  <c:v>87.0976184456689</c:v>
                </c:pt>
                <c:pt idx="58">
                  <c:v>102.38490944798677</c:v>
                </c:pt>
                <c:pt idx="59">
                  <c:v>120.26445941779238</c:v>
                </c:pt>
                <c:pt idx="60">
                  <c:v>141.14948481296935</c:v>
                </c:pt>
                <c:pt idx="61">
                  <c:v>166.62014674165678</c:v>
                </c:pt>
                <c:pt idx="62">
                  <c:v>195.19456896791723</c:v>
                </c:pt>
                <c:pt idx="63">
                  <c:v>228.41670671225452</c:v>
                </c:pt>
                <c:pt idx="64">
                  <c:v>266.96540454190779</c:v>
                </c:pt>
                <c:pt idx="65">
                  <c:v>311.59009255199413</c:v>
                </c:pt>
                <c:pt idx="66">
                  <c:v>363.11197307564771</c:v>
                </c:pt>
                <c:pt idx="67">
                  <c:v>422.41602324488781</c:v>
                </c:pt>
                <c:pt idx="68">
                  <c:v>490.42859048685955</c:v>
                </c:pt>
                <c:pt idx="69">
                  <c:v>568.0946714000379</c:v>
                </c:pt>
                <c:pt idx="70">
                  <c:v>656.31646007283155</c:v>
                </c:pt>
                <c:pt idx="71">
                  <c:v>755.88525767739145</c:v>
                </c:pt>
                <c:pt idx="72">
                  <c:v>867.31695557090882</c:v>
                </c:pt>
                <c:pt idx="73">
                  <c:v>990.6438639462167</c:v>
                </c:pt>
                <c:pt idx="74">
                  <c:v>1124.9960910093423</c:v>
                </c:pt>
                <c:pt idx="75">
                  <c:v>1267.8496419841356</c:v>
                </c:pt>
                <c:pt idx="76">
                  <c:v>1413.5855544205622</c:v>
                </c:pt>
                <c:pt idx="77">
                  <c:v>1550.105018968979</c:v>
                </c:pt>
                <c:pt idx="78">
                  <c:v>1649.9907231065167</c:v>
                </c:pt>
                <c:pt idx="79">
                  <c:v>1636.8363429735705</c:v>
                </c:pt>
                <c:pt idx="80">
                  <c:v>1106.8332168241413</c:v>
                </c:pt>
                <c:pt idx="81">
                  <c:v>29.350522191053603</c:v>
                </c:pt>
                <c:pt idx="82">
                  <c:v>34.626358898050881</c:v>
                </c:pt>
                <c:pt idx="83">
                  <c:v>40.832069466975433</c:v>
                </c:pt>
                <c:pt idx="84">
                  <c:v>48.126773351366474</c:v>
                </c:pt>
                <c:pt idx="85">
                  <c:v>56.695490878223993</c:v>
                </c:pt>
                <c:pt idx="86">
                  <c:v>66.752959347573508</c:v>
                </c:pt>
                <c:pt idx="87">
                  <c:v>78.547879616732203</c:v>
                </c:pt>
                <c:pt idx="88">
                  <c:v>92.367592584832806</c:v>
                </c:pt>
                <c:pt idx="89">
                  <c:v>108.54316082543407</c:v>
                </c:pt>
                <c:pt idx="90">
                  <c:v>127.45470569150432</c:v>
                </c:pt>
                <c:pt idx="91">
                  <c:v>150.53927602165081</c:v>
                </c:pt>
                <c:pt idx="92">
                  <c:v>176.47241788364644</c:v>
                </c:pt>
                <c:pt idx="93">
                  <c:v>206.665754650027</c:v>
                </c:pt>
                <c:pt idx="94">
                  <c:v>241.75622734582942</c:v>
                </c:pt>
                <c:pt idx="95">
                  <c:v>282.45216364198717</c:v>
                </c:pt>
                <c:pt idx="96">
                  <c:v>329.53628101836784</c:v>
                </c:pt>
                <c:pt idx="97">
                  <c:v>383.86062822321668</c:v>
                </c:pt>
                <c:pt idx="98">
                  <c:v>446.32857504449623</c:v>
                </c:pt>
                <c:pt idx="99">
                  <c:v>517.87639961704815</c:v>
                </c:pt>
                <c:pt idx="100">
                  <c:v>599.41914229599035</c:v>
                </c:pt>
              </c:numCache>
            </c:numRef>
          </c:yVal>
          <c:smooth val="1"/>
          <c:extLst xmlns:c15="http://schemas.microsoft.com/office/drawing/2012/chart">
            <c:ext xmlns:c16="http://schemas.microsoft.com/office/drawing/2014/chart" uri="{C3380CC4-5D6E-409C-BE32-E72D297353CC}">
              <c16:uniqueId val="{00000000-B6F4-444A-8854-879EF1FF4E52}"/>
            </c:ext>
          </c:extLst>
        </c:ser>
        <c:dLbls>
          <c:showLegendKey val="0"/>
          <c:showVal val="0"/>
          <c:showCatName val="0"/>
          <c:showSerName val="0"/>
          <c:showPercent val="0"/>
          <c:showBubbleSize val="0"/>
        </c:dLbls>
        <c:axId val="1241530367"/>
        <c:axId val="755015471"/>
        <c:extLst>
          <c:ext xmlns:c15="http://schemas.microsoft.com/office/drawing/2012/chart" uri="{02D57815-91ED-43cb-92C2-25804820EDAC}">
            <c15:filteredScatterSeries>
              <c15:ser>
                <c:idx val="1"/>
                <c:order val="1"/>
                <c:spPr>
                  <a:ln w="15875" cap="rnd">
                    <a:solidFill>
                      <a:srgbClr val="FF0000"/>
                    </a:solidFill>
                    <a:round/>
                  </a:ln>
                  <a:effectLst/>
                </c:spPr>
                <c:marker>
                  <c:symbol val="diamond"/>
                  <c:size val="3"/>
                  <c:spPr>
                    <a:solidFill>
                      <a:srgbClr val="FF0000"/>
                    </a:solidFill>
                    <a:ln w="9525">
                      <a:solidFill>
                        <a:srgbClr val="FF0000"/>
                      </a:solidFill>
                      <a:round/>
                    </a:ln>
                    <a:effectLst/>
                  </c:spPr>
                </c:marker>
                <c:xVal>
                  <c:numRef>
                    <c:extLst>
                      <c:ext uri="{02D57815-91ED-43cb-92C2-25804820EDAC}">
                        <c15:formulaRef>
                          <c15:sqref>Sheet1!$AB$8:$AB$108</c15:sqref>
                        </c15:formulaRef>
                      </c:ext>
                    </c:extLst>
                    <c:numCache>
                      <c:formatCode>0</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extLst>
                      <c:ext uri="{02D57815-91ED-43cb-92C2-25804820EDAC}">
                        <c15:formulaRef>
                          <c15:sqref>Sheet1!$AD$8:$AD$108</c15:sqref>
                        </c15:formulaRef>
                      </c:ext>
                    </c:extLst>
                    <c:numCache>
                      <c:formatCode>0.0000</c:formatCode>
                      <c:ptCount val="101"/>
                      <c:pt idx="1">
                        <c:v>0.18883555184851453</c:v>
                      </c:pt>
                      <c:pt idx="2">
                        <c:v>0.22392371129825728</c:v>
                      </c:pt>
                      <c:pt idx="3">
                        <c:v>0.26558792677331522</c:v>
                      </c:pt>
                      <c:pt idx="4">
                        <c:v>0.31497460749675188</c:v>
                      </c:pt>
                      <c:pt idx="5">
                        <c:v>0.37348316827452632</c:v>
                      </c:pt>
                      <c:pt idx="6">
                        <c:v>0.44277358567355041</c:v>
                      </c:pt>
                      <c:pt idx="7">
                        <c:v>0.52480744991183048</c:v>
                      </c:pt>
                      <c:pt idx="8">
                        <c:v>0.6218997702621607</c:v>
                      </c:pt>
                      <c:pt idx="9">
                        <c:v>0.73678141439362044</c:v>
                      </c:pt>
                      <c:pt idx="10">
                        <c:v>0.87267138816416789</c:v>
                      </c:pt>
                      <c:pt idx="11">
                        <c:v>1.0333625076393274</c:v>
                      </c:pt>
                      <c:pt idx="12">
                        <c:v>1.2233201486966188</c:v>
                      </c:pt>
                      <c:pt idx="13">
                        <c:v>1.4478042783761067</c:v>
                      </c:pt>
                      <c:pt idx="14">
                        <c:v>1.7129970709636293</c:v>
                      </c:pt>
                      <c:pt idx="15">
                        <c:v>2.0261694446786986</c:v>
                      </c:pt>
                      <c:pt idx="16">
                        <c:v>2.395863610684188</c:v>
                      </c:pt>
                      <c:pt idx="17">
                        <c:v>2.8321104730575204</c:v>
                      </c:pt>
                      <c:pt idx="18">
                        <c:v>3.3466728504686323</c:v>
                      </c:pt>
                      <c:pt idx="19">
                        <c:v>3.9533586235903115</c:v>
                      </c:pt>
                      <c:pt idx="20">
                        <c:v>4.6683030359524942</c:v>
                      </c:pt>
                      <c:pt idx="21">
                        <c:v>5.5104379472693488</c:v>
                      </c:pt>
                      <c:pt idx="22">
                        <c:v>6.5018571932862486</c:v>
                      </c:pt>
                      <c:pt idx="23">
                        <c:v>7.6683705306708276</c:v>
                      </c:pt>
                      <c:pt idx="24">
                        <c:v>9.0400784359586481</c:v>
                      </c:pt>
                      <c:pt idx="25">
                        <c:v>10.652034733842861</c:v>
                      </c:pt>
                      <c:pt idx="26">
                        <c:v>12.544997294912108</c:v>
                      </c:pt>
                      <c:pt idx="27">
                        <c:v>14.766271869320462</c:v>
                      </c:pt>
                      <c:pt idx="28">
                        <c:v>17.370653099527644</c:v>
                      </c:pt>
                      <c:pt idx="29">
                        <c:v>20.42146347503531</c:v>
                      </c:pt>
                      <c:pt idx="30">
                        <c:v>23.991669050587205</c:v>
                      </c:pt>
                      <c:pt idx="31">
                        <c:v>28.353858036032648</c:v>
                      </c:pt>
                      <c:pt idx="32">
                        <c:v>33.261550954193723</c:v>
                      </c:pt>
                      <c:pt idx="33">
                        <c:v>38.984164831398765</c:v>
                      </c:pt>
                      <c:pt idx="34">
                        <c:v>45.646759797900003</c:v>
                      </c:pt>
                      <c:pt idx="35">
                        <c:v>53.389642808346387</c:v>
                      </c:pt>
                      <c:pt idx="36">
                        <c:v>62.369486872732423</c:v>
                      </c:pt>
                      <c:pt idx="37">
                        <c:v>72.759062079221195</c:v>
                      </c:pt>
                      <c:pt idx="38">
                        <c:v>84.744653709958556</c:v>
                      </c:pt>
                      <c:pt idx="39">
                        <c:v>98.523529931743525</c:v>
                      </c:pt>
                      <c:pt idx="40">
                        <c:v>114.29471019543648</c:v>
                      </c:pt>
                      <c:pt idx="41">
                        <c:v>132.24830862842234</c:v>
                      </c:pt>
                      <c:pt idx="42">
                        <c:v>152.53738831859138</c:v>
                      </c:pt>
                      <c:pt idx="43">
                        <c:v>175.24057390627047</c:v>
                      </c:pt>
                      <c:pt idx="44">
                        <c:v>200.2847036675214</c:v>
                      </c:pt>
                      <c:pt idx="45">
                        <c:v>227.30259376728387</c:v>
                      </c:pt>
                      <c:pt idx="46">
                        <c:v>255.35664809516257</c:v>
                      </c:pt>
                      <c:pt idx="47">
                        <c:v>282.28971479616456</c:v>
                      </c:pt>
                      <c:pt idx="48">
                        <c:v>303.03232906778749</c:v>
                      </c:pt>
                      <c:pt idx="49">
                        <c:v>303.2083548878814</c:v>
                      </c:pt>
                      <c:pt idx="50">
                        <c:v>206.70413201754289</c:v>
                      </c:pt>
                      <c:pt idx="51">
                        <c:v>5.5104379472693488</c:v>
                      </c:pt>
                      <c:pt idx="52">
                        <c:v>6.5018571932862486</c:v>
                      </c:pt>
                      <c:pt idx="53">
                        <c:v>7.6683705306708276</c:v>
                      </c:pt>
                      <c:pt idx="54">
                        <c:v>9.0400784359586481</c:v>
                      </c:pt>
                      <c:pt idx="55">
                        <c:v>10.652034733842861</c:v>
                      </c:pt>
                      <c:pt idx="56">
                        <c:v>12.544997294912108</c:v>
                      </c:pt>
                      <c:pt idx="57">
                        <c:v>14.766271869320462</c:v>
                      </c:pt>
                      <c:pt idx="58">
                        <c:v>17.370653099527644</c:v>
                      </c:pt>
                      <c:pt idx="59">
                        <c:v>20.42146347503531</c:v>
                      </c:pt>
                      <c:pt idx="60">
                        <c:v>23.991669050587205</c:v>
                      </c:pt>
                      <c:pt idx="61">
                        <c:v>28.353858036032648</c:v>
                      </c:pt>
                      <c:pt idx="62">
                        <c:v>33.261550954193723</c:v>
                      </c:pt>
                      <c:pt idx="63">
                        <c:v>38.984164831398765</c:v>
                      </c:pt>
                      <c:pt idx="64">
                        <c:v>45.646759797900003</c:v>
                      </c:pt>
                      <c:pt idx="65">
                        <c:v>53.389642808346387</c:v>
                      </c:pt>
                      <c:pt idx="66">
                        <c:v>62.369486872732423</c:v>
                      </c:pt>
                      <c:pt idx="67">
                        <c:v>72.759062079221195</c:v>
                      </c:pt>
                      <c:pt idx="68">
                        <c:v>84.744653709958556</c:v>
                      </c:pt>
                      <c:pt idx="69">
                        <c:v>98.523529931743525</c:v>
                      </c:pt>
                      <c:pt idx="70">
                        <c:v>114.29471019543648</c:v>
                      </c:pt>
                      <c:pt idx="71">
                        <c:v>132.24830862842234</c:v>
                      </c:pt>
                      <c:pt idx="72">
                        <c:v>152.53738831859138</c:v>
                      </c:pt>
                      <c:pt idx="73">
                        <c:v>175.24057390627047</c:v>
                      </c:pt>
                      <c:pt idx="74">
                        <c:v>200.2847036675214</c:v>
                      </c:pt>
                      <c:pt idx="75">
                        <c:v>227.30259376728387</c:v>
                      </c:pt>
                      <c:pt idx="76">
                        <c:v>255.35664809516257</c:v>
                      </c:pt>
                      <c:pt idx="77">
                        <c:v>282.28971479616456</c:v>
                      </c:pt>
                      <c:pt idx="78">
                        <c:v>303.03232906778749</c:v>
                      </c:pt>
                      <c:pt idx="79">
                        <c:v>303.2083548878814</c:v>
                      </c:pt>
                      <c:pt idx="80">
                        <c:v>206.70413201754289</c:v>
                      </c:pt>
                      <c:pt idx="81">
                        <c:v>5.5104379472693488</c:v>
                      </c:pt>
                      <c:pt idx="82">
                        <c:v>6.5018571932862486</c:v>
                      </c:pt>
                      <c:pt idx="83">
                        <c:v>7.6683705306708276</c:v>
                      </c:pt>
                      <c:pt idx="84">
                        <c:v>9.0400784359586481</c:v>
                      </c:pt>
                      <c:pt idx="85">
                        <c:v>10.652034733842861</c:v>
                      </c:pt>
                      <c:pt idx="86">
                        <c:v>12.544997294912108</c:v>
                      </c:pt>
                      <c:pt idx="87">
                        <c:v>14.766271869320462</c:v>
                      </c:pt>
                      <c:pt idx="88">
                        <c:v>17.370653099527644</c:v>
                      </c:pt>
                      <c:pt idx="89">
                        <c:v>20.42146347503531</c:v>
                      </c:pt>
                      <c:pt idx="90">
                        <c:v>23.991669050587205</c:v>
                      </c:pt>
                      <c:pt idx="91">
                        <c:v>28.353858036032648</c:v>
                      </c:pt>
                      <c:pt idx="92">
                        <c:v>33.261550954193723</c:v>
                      </c:pt>
                      <c:pt idx="93">
                        <c:v>38.984164831398765</c:v>
                      </c:pt>
                      <c:pt idx="94">
                        <c:v>45.646759797900003</c:v>
                      </c:pt>
                      <c:pt idx="95">
                        <c:v>53.389642808346387</c:v>
                      </c:pt>
                      <c:pt idx="96">
                        <c:v>62.369486872732423</c:v>
                      </c:pt>
                      <c:pt idx="97">
                        <c:v>72.759062079221195</c:v>
                      </c:pt>
                      <c:pt idx="98">
                        <c:v>84.744653709958556</c:v>
                      </c:pt>
                      <c:pt idx="99">
                        <c:v>98.523529931743525</c:v>
                      </c:pt>
                      <c:pt idx="100">
                        <c:v>114.29471019543648</c:v>
                      </c:pt>
                    </c:numCache>
                  </c:numRef>
                </c:yVal>
                <c:smooth val="1"/>
                <c:extLst>
                  <c:ext xmlns:c16="http://schemas.microsoft.com/office/drawing/2014/chart" uri="{C3380CC4-5D6E-409C-BE32-E72D297353CC}">
                    <c16:uniqueId val="{00000001-B6F4-444A-8854-879EF1FF4E52}"/>
                  </c:ext>
                </c:extLst>
              </c15:ser>
            </c15:filteredScatterSeries>
          </c:ext>
        </c:extLst>
      </c:scatterChart>
      <c:valAx>
        <c:axId val="1241530367"/>
        <c:scaling>
          <c:orientation val="minMax"/>
          <c:max val="100"/>
        </c:scaling>
        <c:delete val="0"/>
        <c:axPos val="b"/>
        <c:majorGridlines>
          <c:spPr>
            <a:ln w="9525" cap="flat" cmpd="sng" algn="ctr">
              <a:solidFill>
                <a:schemeClr val="bg1">
                  <a:lumMod val="95000"/>
                </a:schemeClr>
              </a:solidFill>
              <a:round/>
            </a:ln>
            <a:effectLst/>
          </c:spPr>
        </c:majorGridlines>
        <c:title>
          <c:tx>
            <c:rich>
              <a:bodyPr rot="0" spcFirstLastPara="1" vertOverflow="ellipsis" vert="horz" wrap="square" anchor="ctr" anchorCtr="1"/>
              <a:lstStyle/>
              <a:p>
                <a:pPr>
                  <a:defRPr sz="1000" b="1" i="0" u="none" strike="noStrike" kern="1200" baseline="0">
                    <a:solidFill>
                      <a:schemeClr val="tx1"/>
                    </a:solidFill>
                    <a:latin typeface="+mn-lt"/>
                    <a:ea typeface="+mn-ea"/>
                    <a:cs typeface="+mn-cs"/>
                  </a:defRPr>
                </a:pPr>
                <a:r>
                  <a:rPr lang="en-GB" sz="1000">
                    <a:solidFill>
                      <a:schemeClr val="tx1"/>
                    </a:solidFill>
                  </a:rPr>
                  <a:t>t (yr)</a:t>
                </a:r>
              </a:p>
            </c:rich>
          </c:tx>
          <c:overlay val="0"/>
          <c:spPr>
            <a:solidFill>
              <a:schemeClr val="bg1"/>
            </a:solidFill>
            <a:ln>
              <a:noFill/>
            </a:ln>
            <a:effectLst/>
          </c:spPr>
          <c:txPr>
            <a:bodyPr rot="0" spcFirstLastPara="1" vertOverflow="ellipsis" vert="horz" wrap="square" anchor="ctr" anchorCtr="1"/>
            <a:lstStyle/>
            <a:p>
              <a:pPr>
                <a:defRPr sz="1000" b="1" i="0" u="none" strike="noStrike" kern="1200" baseline="0">
                  <a:solidFill>
                    <a:schemeClr val="tx1"/>
                  </a:solidFill>
                  <a:latin typeface="+mn-lt"/>
                  <a:ea typeface="+mn-ea"/>
                  <a:cs typeface="+mn-cs"/>
                </a:defRPr>
              </a:pPr>
              <a:endParaRPr lang="en-US"/>
            </a:p>
          </c:txPr>
        </c:title>
        <c:numFmt formatCode="0" sourceLinked="1"/>
        <c:majorTickMark val="in"/>
        <c:minorTickMark val="in"/>
        <c:tickLblPos val="nextTo"/>
        <c:spPr>
          <a:noFill/>
          <a:ln>
            <a:solidFill>
              <a:schemeClr val="bg1">
                <a:lumMod val="50000"/>
              </a:schemeClr>
            </a:solid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755015471"/>
        <c:crosses val="autoZero"/>
        <c:crossBetween val="midCat"/>
      </c:valAx>
      <c:valAx>
        <c:axId val="755015471"/>
        <c:scaling>
          <c:orientation val="minMax"/>
          <c:min val="0"/>
        </c:scaling>
        <c:delete val="0"/>
        <c:axPos val="l"/>
        <c:majorGridlines>
          <c:spPr>
            <a:ln w="9525" cap="flat" cmpd="sng" algn="ctr">
              <a:solidFill>
                <a:schemeClr val="bg1">
                  <a:lumMod val="95000"/>
                </a:schemeClr>
              </a:solidFill>
              <a:round/>
            </a:ln>
            <a:effectLst/>
          </c:spPr>
        </c:majorGridlines>
        <c:title>
          <c:tx>
            <c:rich>
              <a:bodyPr rot="-5400000" spcFirstLastPara="1" vertOverflow="ellipsis" vert="horz" wrap="square" anchor="ctr" anchorCtr="1"/>
              <a:lstStyle/>
              <a:p>
                <a:pPr>
                  <a:defRPr sz="1050" b="1" i="0" u="none" strike="noStrike" kern="1200" baseline="0">
                    <a:solidFill>
                      <a:schemeClr val="tx1"/>
                    </a:solidFill>
                    <a:latin typeface="+mn-lt"/>
                    <a:ea typeface="+mn-ea"/>
                    <a:cs typeface="+mn-cs"/>
                  </a:defRPr>
                </a:pPr>
                <a:r>
                  <a:rPr lang="en-GB" sz="1050">
                    <a:solidFill>
                      <a:schemeClr val="tx1"/>
                    </a:solidFill>
                  </a:rPr>
                  <a:t>AI (G$)</a:t>
                </a:r>
              </a:p>
            </c:rich>
          </c:tx>
          <c:layout>
            <c:manualLayout>
              <c:xMode val="edge"/>
              <c:yMode val="edge"/>
              <c:x val="2.0711974110032363E-2"/>
              <c:y val="0.4299182313749243"/>
            </c:manualLayout>
          </c:layout>
          <c:overlay val="0"/>
          <c:spPr>
            <a:noFill/>
            <a:ln>
              <a:noFill/>
            </a:ln>
            <a:effectLst/>
          </c:spPr>
          <c:txPr>
            <a:bodyPr rot="-5400000" spcFirstLastPara="1" vertOverflow="ellipsis" vert="horz" wrap="square" anchor="ctr" anchorCtr="1"/>
            <a:lstStyle/>
            <a:p>
              <a:pPr>
                <a:defRPr sz="1050" b="1" i="0" u="none" strike="noStrike" kern="1200" baseline="0">
                  <a:solidFill>
                    <a:schemeClr val="tx1"/>
                  </a:solidFill>
                  <a:latin typeface="+mn-lt"/>
                  <a:ea typeface="+mn-ea"/>
                  <a:cs typeface="+mn-cs"/>
                </a:defRPr>
              </a:pPr>
              <a:endParaRPr lang="en-US"/>
            </a:p>
          </c:txPr>
        </c:title>
        <c:numFmt formatCode="0" sourceLinked="0"/>
        <c:majorTickMark val="in"/>
        <c:minorTickMark val="in"/>
        <c:tickLblPos val="nextTo"/>
        <c:spPr>
          <a:noFill/>
          <a:ln>
            <a:solidFill>
              <a:schemeClr val="bg1">
                <a:lumMod val="50000"/>
              </a:schemeClr>
            </a:solidFill>
          </a:ln>
          <a:effectLst/>
        </c:spPr>
        <c:txPr>
          <a:bodyPr rot="0" spcFirstLastPara="1" vertOverflow="ellipsis" wrap="square" anchor="ctr" anchorCtr="1"/>
          <a:lstStyle/>
          <a:p>
            <a:pPr>
              <a:defRPr sz="900" b="0" i="0" u="none" strike="noStrike" kern="1200" baseline="0">
                <a:solidFill>
                  <a:sysClr val="windowText" lastClr="000000"/>
                </a:solidFill>
                <a:latin typeface="+mn-lt"/>
                <a:ea typeface="+mn-ea"/>
                <a:cs typeface="+mn-cs"/>
              </a:defRPr>
            </a:pPr>
            <a:endParaRPr lang="en-US"/>
          </a:p>
        </c:txPr>
        <c:crossAx val="1241530367"/>
        <c:crosses val="autoZero"/>
        <c:crossBetween val="midCat"/>
        <c:majorUnit val="200"/>
      </c:valAx>
      <c:spPr>
        <a:noFill/>
        <a:ln>
          <a:noFill/>
        </a:ln>
        <a:effectLst/>
      </c:spPr>
    </c:plotArea>
    <c:legend>
      <c:legendPos val="r"/>
      <c:layout>
        <c:manualLayout>
          <c:xMode val="edge"/>
          <c:yMode val="edge"/>
          <c:x val="0.62101796498738626"/>
          <c:y val="0.69157009220001353"/>
          <c:w val="0.28866090767780239"/>
          <c:h val="7.2115889359983865E-2"/>
        </c:manualLayout>
      </c:layout>
      <c:overlay val="1"/>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65000"/>
          <a:lumOff val="3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Overnight Cost over time</a:t>
            </a:r>
            <a:endParaRPr lang="en-GB" baseline="0"/>
          </a:p>
        </c:rich>
      </c:tx>
      <c:layout>
        <c:manualLayout>
          <c:xMode val="edge"/>
          <c:yMode val="edge"/>
          <c:x val="0.31529398950954463"/>
          <c:y val="2.2092455206105019E-2"/>
        </c:manualLayout>
      </c:layout>
      <c:overlay val="0"/>
      <c:spPr>
        <a:noFill/>
        <a:ln>
          <a:noFill/>
        </a:ln>
        <a:effectLst/>
      </c:spPr>
    </c:title>
    <c:autoTitleDeleted val="0"/>
    <c:plotArea>
      <c:layout/>
      <c:scatterChart>
        <c:scatterStyle val="smoothMarker"/>
        <c:varyColors val="0"/>
        <c:ser>
          <c:idx val="0"/>
          <c:order val="0"/>
          <c:tx>
            <c:v>Overnight Cost</c:v>
          </c:tx>
          <c:marker>
            <c:symbol val="diamond"/>
            <c:size val="4"/>
          </c:marker>
          <c:xVal>
            <c:numRef>
              <c:f>Sheet1!$AG$8:$AG$108</c:f>
              <c:numCache>
                <c:formatCode>0.0000</c:formatCode>
                <c:ptCount val="101"/>
                <c:pt idx="1">
                  <c:v>1</c:v>
                </c:pt>
                <c:pt idx="2">
                  <c:v>1.1888355518485145</c:v>
                </c:pt>
                <c:pt idx="3">
                  <c:v>1.4127592631467718</c:v>
                </c:pt>
                <c:pt idx="4">
                  <c:v>1.678347189920087</c:v>
                </c:pt>
                <c:pt idx="5">
                  <c:v>1.9933217974168389</c:v>
                </c:pt>
                <c:pt idx="6">
                  <c:v>2.3668049656913652</c:v>
                </c:pt>
                <c:pt idx="7">
                  <c:v>2.8095785513649156</c:v>
                </c:pt>
                <c:pt idx="8">
                  <c:v>3.3343860012767461</c:v>
                </c:pt>
                <c:pt idx="9">
                  <c:v>3.9562857715389068</c:v>
                </c:pt>
                <c:pt idx="10">
                  <c:v>4.6930671859325273</c:v>
                </c:pt>
                <c:pt idx="11">
                  <c:v>5.5657385740966951</c:v>
                </c:pt>
                <c:pt idx="12">
                  <c:v>6.5991010817360225</c:v>
                </c:pt>
                <c:pt idx="13">
                  <c:v>7.8224212304326413</c:v>
                </c:pt>
                <c:pt idx="14">
                  <c:v>9.270225508808748</c:v>
                </c:pt>
                <c:pt idx="15">
                  <c:v>10.983222579772377</c:v>
                </c:pt>
                <c:pt idx="16">
                  <c:v>13.009392024451076</c:v>
                </c:pt>
                <c:pt idx="17">
                  <c:v>15.405255635135264</c:v>
                </c:pt>
                <c:pt idx="18">
                  <c:v>18.237366108192784</c:v>
                </c:pt>
                <c:pt idx="19">
                  <c:v>21.584038958661417</c:v>
                </c:pt>
                <c:pt idx="20">
                  <c:v>25.537397582251728</c:v>
                </c:pt>
                <c:pt idx="21">
                  <c:v>30.205700618204222</c:v>
                </c:pt>
                <c:pt idx="22">
                  <c:v>35.716138565473571</c:v>
                </c:pt>
                <c:pt idx="23">
                  <c:v>42.21799575875982</c:v>
                </c:pt>
                <c:pt idx="24">
                  <c:v>49.886366289430647</c:v>
                </c:pt>
                <c:pt idx="25">
                  <c:v>58.926444725389295</c:v>
                </c:pt>
                <c:pt idx="26">
                  <c:v>69.578479459232156</c:v>
                </c:pt>
                <c:pt idx="27">
                  <c:v>82.123476754144264</c:v>
                </c:pt>
                <c:pt idx="28">
                  <c:v>96.889748623464726</c:v>
                </c:pt>
                <c:pt idx="29">
                  <c:v>114.26040172299237</c:v>
                </c:pt>
                <c:pt idx="30">
                  <c:v>134.68186519802768</c:v>
                </c:pt>
                <c:pt idx="31">
                  <c:v>158.67353424861489</c:v>
                </c:pt>
                <c:pt idx="32">
                  <c:v>187.02739228464753</c:v>
                </c:pt>
                <c:pt idx="33">
                  <c:v>220.28894323884126</c:v>
                </c:pt>
                <c:pt idx="34">
                  <c:v>259.27310807024003</c:v>
                </c:pt>
                <c:pt idx="35">
                  <c:v>304.91986786814005</c:v>
                </c:pt>
                <c:pt idx="36">
                  <c:v>358.30951067648641</c:v>
                </c:pt>
                <c:pt idx="37">
                  <c:v>420.67899754921882</c:v>
                </c:pt>
                <c:pt idx="38">
                  <c:v>493.43805962843999</c:v>
                </c:pt>
                <c:pt idx="39">
                  <c:v>578.18271333839857</c:v>
                </c:pt>
                <c:pt idx="40">
                  <c:v>676.70624327014207</c:v>
                </c:pt>
                <c:pt idx="41">
                  <c:v>791.0009534655785</c:v>
                </c:pt>
                <c:pt idx="42">
                  <c:v>923.24926209400087</c:v>
                </c:pt>
                <c:pt idx="43">
                  <c:v>1075.7866504125923</c:v>
                </c:pt>
                <c:pt idx="44">
                  <c:v>1251.0272243188629</c:v>
                </c:pt>
                <c:pt idx="45">
                  <c:v>1451.3119279863843</c:v>
                </c:pt>
                <c:pt idx="46">
                  <c:v>1678.6145217536682</c:v>
                </c:pt>
                <c:pt idx="47">
                  <c:v>1933.9711698488309</c:v>
                </c:pt>
                <c:pt idx="48">
                  <c:v>2216.2608846449953</c:v>
                </c:pt>
                <c:pt idx="49">
                  <c:v>2519.2932137127827</c:v>
                </c:pt>
                <c:pt idx="50">
                  <c:v>2822.5015686006641</c:v>
                </c:pt>
                <c:pt idx="51">
                  <c:v>3029.2057006182072</c:v>
                </c:pt>
                <c:pt idx="52">
                  <c:v>3034.7161385654767</c:v>
                </c:pt>
                <c:pt idx="53">
                  <c:v>3041.2179957587632</c:v>
                </c:pt>
                <c:pt idx="54">
                  <c:v>3048.8863662894341</c:v>
                </c:pt>
                <c:pt idx="55">
                  <c:v>3057.9264447253927</c:v>
                </c:pt>
                <c:pt idx="56">
                  <c:v>3068.5784794592355</c:v>
                </c:pt>
                <c:pt idx="57">
                  <c:v>3081.1234767541478</c:v>
                </c:pt>
                <c:pt idx="58">
                  <c:v>3095.8897486234682</c:v>
                </c:pt>
                <c:pt idx="59">
                  <c:v>3113.260401722996</c:v>
                </c:pt>
                <c:pt idx="60">
                  <c:v>3133.6818651980311</c:v>
                </c:pt>
                <c:pt idx="61">
                  <c:v>3157.6735342486181</c:v>
                </c:pt>
                <c:pt idx="62">
                  <c:v>3186.0273922846509</c:v>
                </c:pt>
                <c:pt idx="63">
                  <c:v>3219.2889432388447</c:v>
                </c:pt>
                <c:pt idx="64">
                  <c:v>3258.2731080702433</c:v>
                </c:pt>
                <c:pt idx="65">
                  <c:v>3303.9198678681432</c:v>
                </c:pt>
                <c:pt idx="66">
                  <c:v>3357.3095106764895</c:v>
                </c:pt>
                <c:pt idx="67">
                  <c:v>3419.678997549222</c:v>
                </c:pt>
                <c:pt idx="68">
                  <c:v>3492.4380596284432</c:v>
                </c:pt>
                <c:pt idx="69">
                  <c:v>3577.1827133384018</c:v>
                </c:pt>
                <c:pt idx="70">
                  <c:v>3675.7062432701455</c:v>
                </c:pt>
                <c:pt idx="71">
                  <c:v>3790.0009534655819</c:v>
                </c:pt>
                <c:pt idx="72">
                  <c:v>3922.2492620940043</c:v>
                </c:pt>
                <c:pt idx="73">
                  <c:v>4074.7866504125955</c:v>
                </c:pt>
                <c:pt idx="74">
                  <c:v>4250.0272243188656</c:v>
                </c:pt>
                <c:pt idx="75">
                  <c:v>4450.3119279863868</c:v>
                </c:pt>
                <c:pt idx="76">
                  <c:v>4677.6145217536705</c:v>
                </c:pt>
                <c:pt idx="77">
                  <c:v>4932.9711698488327</c:v>
                </c:pt>
                <c:pt idx="78">
                  <c:v>5215.2608846449975</c:v>
                </c:pt>
                <c:pt idx="79">
                  <c:v>5518.2932137127846</c:v>
                </c:pt>
                <c:pt idx="80">
                  <c:v>5821.5015686006664</c:v>
                </c:pt>
                <c:pt idx="81">
                  <c:v>6028.2057006182094</c:v>
                </c:pt>
                <c:pt idx="82">
                  <c:v>6033.716138565479</c:v>
                </c:pt>
                <c:pt idx="83">
                  <c:v>6040.217995758765</c:v>
                </c:pt>
                <c:pt idx="84">
                  <c:v>6047.8863662894355</c:v>
                </c:pt>
                <c:pt idx="85">
                  <c:v>6056.9264447253945</c:v>
                </c:pt>
                <c:pt idx="86">
                  <c:v>6067.5784794592373</c:v>
                </c:pt>
                <c:pt idx="87">
                  <c:v>6080.1234767541491</c:v>
                </c:pt>
                <c:pt idx="88">
                  <c:v>6094.8897486234691</c:v>
                </c:pt>
                <c:pt idx="89">
                  <c:v>6112.2604017229969</c:v>
                </c:pt>
                <c:pt idx="90">
                  <c:v>6132.681865198032</c:v>
                </c:pt>
                <c:pt idx="91">
                  <c:v>6156.673534248619</c:v>
                </c:pt>
                <c:pt idx="92">
                  <c:v>6185.0273922846518</c:v>
                </c:pt>
                <c:pt idx="93">
                  <c:v>6218.2889432388456</c:v>
                </c:pt>
                <c:pt idx="94">
                  <c:v>6257.2731080702442</c:v>
                </c:pt>
                <c:pt idx="95">
                  <c:v>6302.9198678681441</c:v>
                </c:pt>
                <c:pt idx="96">
                  <c:v>6356.3095106764904</c:v>
                </c:pt>
                <c:pt idx="97">
                  <c:v>6418.6789975492229</c:v>
                </c:pt>
                <c:pt idx="98">
                  <c:v>6491.4380596284445</c:v>
                </c:pt>
                <c:pt idx="99">
                  <c:v>6576.1827133384031</c:v>
                </c:pt>
                <c:pt idx="100">
                  <c:v>6674.7062432701468</c:v>
                </c:pt>
              </c:numCache>
            </c:numRef>
          </c:xVal>
          <c:yVal>
            <c:numRef>
              <c:f>Sheet1!$AE$8:$AE$108</c:f>
              <c:numCache>
                <c:formatCode>0.0000</c:formatCode>
                <c:ptCount val="101"/>
                <c:pt idx="1">
                  <c:v>20</c:v>
                </c:pt>
                <c:pt idx="2">
                  <c:v>19.481000257907517</c:v>
                </c:pt>
                <c:pt idx="3">
                  <c:v>18.976633523074177</c:v>
                </c:pt>
                <c:pt idx="4">
                  <c:v>18.486183749254739</c:v>
                </c:pt>
                <c:pt idx="5">
                  <c:v>18.009153580717527</c:v>
                </c:pt>
                <c:pt idx="6">
                  <c:v>17.545111903202198</c:v>
                </c:pt>
                <c:pt idx="7">
                  <c:v>17.09366343335067</c:v>
                </c:pt>
                <c:pt idx="8">
                  <c:v>16.654437339815694</c:v>
                </c:pt>
                <c:pt idx="9">
                  <c:v>16.227081767564805</c:v>
                </c:pt>
                <c:pt idx="10">
                  <c:v>15.811260327891619</c:v>
                </c:pt>
                <c:pt idx="11">
                  <c:v>15.40665023767126</c:v>
                </c:pt>
                <c:pt idx="12">
                  <c:v>15.012940865650467</c:v>
                </c:pt>
                <c:pt idx="13">
                  <c:v>14.629833043914442</c:v>
                </c:pt>
                <c:pt idx="14">
                  <c:v>14.257037061985525</c:v>
                </c:pt>
                <c:pt idx="15">
                  <c:v>13.894273675649082</c:v>
                </c:pt>
                <c:pt idx="16">
                  <c:v>13.541272713947091</c:v>
                </c:pt>
                <c:pt idx="17">
                  <c:v>13.197772792289324</c:v>
                </c:pt>
                <c:pt idx="18">
                  <c:v>12.863520804363592</c:v>
                </c:pt>
                <c:pt idx="19">
                  <c:v>12.538272251905887</c:v>
                </c:pt>
                <c:pt idx="20">
                  <c:v>12.221789337642841</c:v>
                </c:pt>
                <c:pt idx="21">
                  <c:v>11.913843810156804</c:v>
                </c:pt>
                <c:pt idx="22">
                  <c:v>11.614213040866634</c:v>
                </c:pt>
                <c:pt idx="23">
                  <c:v>11.322682522290798</c:v>
                </c:pt>
                <c:pt idx="24">
                  <c:v>11.039044870562202</c:v>
                </c:pt>
                <c:pt idx="25">
                  <c:v>10.763099693564461</c:v>
                </c:pt>
                <c:pt idx="26">
                  <c:v>10.49465354890298</c:v>
                </c:pt>
                <c:pt idx="27">
                  <c:v>10.233519928225155</c:v>
                </c:pt>
                <c:pt idx="28">
                  <c:v>9.9795192719909398</c:v>
                </c:pt>
                <c:pt idx="29">
                  <c:v>9.7324790197879807</c:v>
                </c:pt>
                <c:pt idx="30">
                  <c:v>9.4922337025464056</c:v>
                </c:pt>
                <c:pt idx="31">
                  <c:v>9.2586252330626202</c:v>
                </c:pt>
                <c:pt idx="32">
                  <c:v>9.0301169393219887</c:v>
                </c:pt>
                <c:pt idx="33">
                  <c:v>8.8082139983275525</c:v>
                </c:pt>
                <c:pt idx="34">
                  <c:v>8.5927344945647448</c:v>
                </c:pt>
                <c:pt idx="35">
                  <c:v>8.3835137523492644</c:v>
                </c:pt>
                <c:pt idx="36">
                  <c:v>8.1804054079590625</c:v>
                </c:pt>
                <c:pt idx="37">
                  <c:v>7.9832798294582172</c:v>
                </c:pt>
                <c:pt idx="38">
                  <c:v>7.7920243739276183</c:v>
                </c:pt>
                <c:pt idx="39">
                  <c:v>7.6065470466156304</c:v>
                </c:pt>
                <c:pt idx="40">
                  <c:v>7.4267774846623125</c:v>
                </c:pt>
                <c:pt idx="41">
                  <c:v>7.2526734727076025</c:v>
                </c:pt>
                <c:pt idx="42">
                  <c:v>7.0842248867128035</c:v>
                </c:pt>
                <c:pt idx="43">
                  <c:v>6.9214684287999608</c:v>
                </c:pt>
                <c:pt idx="44">
                  <c:v>6.7645025808064094</c:v>
                </c:pt>
                <c:pt idx="45">
                  <c:v>6.6135185909075034</c:v>
                </c:pt>
                <c:pt idx="46">
                  <c:v>6.4688558136077825</c:v>
                </c:pt>
                <c:pt idx="47">
                  <c:v>6.3311037406033073</c:v>
                </c:pt>
                <c:pt idx="48">
                  <c:v>6.2013361328120542</c:v>
                </c:pt>
                <c:pt idx="49">
                  <c:v>6.08170162049253</c:v>
                </c:pt>
                <c:pt idx="50">
                  <c:v>5.9775459620192564</c:v>
                </c:pt>
                <c:pt idx="51">
                  <c:v>5.913672288250627</c:v>
                </c:pt>
                <c:pt idx="52">
                  <c:v>5.9120388138612636</c:v>
                </c:pt>
                <c:pt idx="53">
                  <c:v>5.9101158390573669</c:v>
                </c:pt>
                <c:pt idx="54">
                  <c:v>5.9078539365592597</c:v>
                </c:pt>
                <c:pt idx="55">
                  <c:v>5.9051958301625014</c:v>
                </c:pt>
                <c:pt idx="56">
                  <c:v>5.902075344592336</c:v>
                </c:pt>
                <c:pt idx="57">
                  <c:v>5.8984162838441021</c:v>
                </c:pt>
                <c:pt idx="58">
                  <c:v>5.8941312604285958</c:v>
                </c:pt>
                <c:pt idx="59">
                  <c:v>5.8891205111138314</c:v>
                </c:pt>
                <c:pt idx="60">
                  <c:v>5.8832707518326934</c:v>
                </c:pt>
                <c:pt idx="61">
                  <c:v>5.876454150610213</c:v>
                </c:pt>
                <c:pt idx="62">
                  <c:v>5.8684746612306267</c:v>
                </c:pt>
                <c:pt idx="63">
                  <c:v>5.8592176515804777</c:v>
                </c:pt>
                <c:pt idx="64">
                  <c:v>5.8485072264469826</c:v>
                </c:pt>
                <c:pt idx="65">
                  <c:v>5.8361524101315645</c:v>
                </c:pt>
                <c:pt idx="66">
                  <c:v>5.8219490215879608</c:v>
                </c:pt>
                <c:pt idx="67">
                  <c:v>5.8056826348992061</c:v>
                </c:pt>
                <c:pt idx="68">
                  <c:v>5.7871330994562555</c:v>
                </c:pt>
                <c:pt idx="69">
                  <c:v>5.7660811766855113</c:v>
                </c:pt>
                <c:pt idx="70">
                  <c:v>5.7423170236887895</c:v>
                </c:pt>
                <c:pt idx="71">
                  <c:v>5.7156516065638305</c:v>
                </c:pt>
                <c:pt idx="72">
                  <c:v>5.6859302832655061</c:v>
                </c:pt>
                <c:pt idx="73">
                  <c:v>5.6530507853510823</c:v>
                </c:pt>
                <c:pt idx="74">
                  <c:v>5.616984574502851</c:v>
                </c:pt>
                <c:pt idx="75">
                  <c:v>5.5778054309498151</c:v>
                </c:pt>
                <c:pt idx="76">
                  <c:v>5.5357303793154733</c:v>
                </c:pt>
                <c:pt idx="77">
                  <c:v>5.4911848987777576</c:v>
                </c:pt>
                <c:pt idx="78">
                  <c:v>5.444932981845044</c:v>
                </c:pt>
                <c:pt idx="79">
                  <c:v>5.3983879948784068</c:v>
                </c:pt>
                <c:pt idx="80">
                  <c:v>5.3546738810727055</c:v>
                </c:pt>
                <c:pt idx="81">
                  <c:v>5.326350187029691</c:v>
                </c:pt>
                <c:pt idx="82">
                  <c:v>5.3256104938456215</c:v>
                </c:pt>
                <c:pt idx="83">
                  <c:v>5.3247387177838226</c:v>
                </c:pt>
                <c:pt idx="84">
                  <c:v>5.3237119226679486</c:v>
                </c:pt>
                <c:pt idx="85">
                  <c:v>5.3225033803255686</c:v>
                </c:pt>
                <c:pt idx="86">
                  <c:v>5.3210820041106421</c:v>
                </c:pt>
                <c:pt idx="87">
                  <c:v>5.3194117182637886</c:v>
                </c:pt>
                <c:pt idx="88">
                  <c:v>5.3174507633995951</c:v>
                </c:pt>
                <c:pt idx="89">
                  <c:v>5.3151509419550251</c:v>
                </c:pt>
                <c:pt idx="90">
                  <c:v>5.3124568125194616</c:v>
                </c:pt>
                <c:pt idx="91">
                  <c:v>5.3093048512249199</c:v>
                </c:pt>
                <c:pt idx="92">
                  <c:v>5.3055979899036014</c:v>
                </c:pt>
                <c:pt idx="93">
                  <c:v>5.3012743903538375</c:v>
                </c:pt>
                <c:pt idx="94">
                  <c:v>5.2962407061574499</c:v>
                </c:pt>
                <c:pt idx="95">
                  <c:v>5.2903924578763339</c:v>
                </c:pt>
                <c:pt idx="96">
                  <c:v>5.2836137916414252</c:v>
                </c:pt>
                <c:pt idx="97">
                  <c:v>5.2757775767541268</c:v>
                </c:pt>
                <c:pt idx="98">
                  <c:v>5.2667461073364095</c:v>
                </c:pt>
                <c:pt idx="99">
                  <c:v>5.2563727667474929</c:v>
                </c:pt>
                <c:pt idx="100">
                  <c:v>5.2445046780469786</c:v>
                </c:pt>
              </c:numCache>
            </c:numRef>
          </c:yVal>
          <c:smooth val="1"/>
          <c:extLst>
            <c:ext xmlns:c16="http://schemas.microsoft.com/office/drawing/2014/chart" uri="{C3380CC4-5D6E-409C-BE32-E72D297353CC}">
              <c16:uniqueId val="{00000000-CAA2-420A-8005-4567B51D9C4C}"/>
            </c:ext>
          </c:extLst>
        </c:ser>
        <c:dLbls>
          <c:showLegendKey val="0"/>
          <c:showVal val="0"/>
          <c:showCatName val="0"/>
          <c:showSerName val="0"/>
          <c:showPercent val="0"/>
          <c:showBubbleSize val="0"/>
        </c:dLbls>
        <c:axId val="1292577295"/>
        <c:axId val="1296221023"/>
        <c:extLst/>
      </c:scatterChart>
      <c:valAx>
        <c:axId val="1292577295"/>
        <c:scaling>
          <c:logBase val="10"/>
          <c:orientation val="minMax"/>
        </c:scaling>
        <c:delete val="0"/>
        <c:axPos val="b"/>
        <c:majorGridlines>
          <c:spPr>
            <a:ln>
              <a:solidFill>
                <a:schemeClr val="bg1">
                  <a:lumMod val="95000"/>
                </a:schemeClr>
              </a:solidFill>
            </a:ln>
            <a:effectLst/>
          </c:spPr>
        </c:majorGridlines>
        <c:title>
          <c:tx>
            <c:rich>
              <a:bodyPr/>
              <a:lstStyle/>
              <a:p>
                <a:pPr>
                  <a:defRPr/>
                </a:pPr>
                <a:r>
                  <a:rPr lang="en-GB"/>
                  <a:t>CPBR(t)</a:t>
                </a:r>
              </a:p>
              <a:p>
                <a:pPr>
                  <a:defRPr/>
                </a:pPr>
                <a:endParaRPr lang="en-GB"/>
              </a:p>
            </c:rich>
          </c:tx>
          <c:overlay val="0"/>
        </c:title>
        <c:numFmt formatCode="0" sourceLinked="0"/>
        <c:majorTickMark val="in"/>
        <c:minorTickMark val="in"/>
        <c:tickLblPos val="low"/>
        <c:spPr>
          <a:noFill/>
          <a:ln w="9525" cap="flat" cmpd="sng" algn="ctr">
            <a:solidFill>
              <a:schemeClr val="tx1">
                <a:lumMod val="25000"/>
                <a:lumOff val="75000"/>
              </a:schemeClr>
            </a:solidFill>
            <a:round/>
          </a:ln>
          <a:effectLst/>
        </c:spPr>
        <c:txPr>
          <a:bodyPr rot="0" spcFirstLastPara="1" vertOverflow="ellipsis" vert="horz" wrap="square" anchor="b" anchorCtr="0"/>
          <a:lstStyle/>
          <a:p>
            <a:pPr>
              <a:defRPr sz="900" b="0" i="0" u="none" strike="noStrike" kern="1200" baseline="0">
                <a:solidFill>
                  <a:schemeClr val="tx1">
                    <a:lumMod val="65000"/>
                    <a:lumOff val="35000"/>
                  </a:schemeClr>
                </a:solidFill>
                <a:latin typeface="+mn-lt"/>
                <a:ea typeface="+mn-ea"/>
                <a:cs typeface="+mn-cs"/>
              </a:defRPr>
            </a:pPr>
            <a:endParaRPr lang="en-US"/>
          </a:p>
        </c:txPr>
        <c:crossAx val="1296221023"/>
        <c:crosses val="autoZero"/>
        <c:crossBetween val="midCat"/>
      </c:valAx>
      <c:valAx>
        <c:axId val="1296221023"/>
        <c:scaling>
          <c:orientation val="minMax"/>
        </c:scaling>
        <c:delete val="0"/>
        <c:axPos val="l"/>
        <c:majorGridlines>
          <c:spPr>
            <a:ln>
              <a:solidFill>
                <a:schemeClr val="bg1">
                  <a:lumMod val="95000"/>
                </a:schemeClr>
              </a:solidFill>
            </a:ln>
            <a:effectLst/>
          </c:spPr>
        </c:majorGridlines>
        <c:title>
          <c:tx>
            <c:rich>
              <a:bodyPr/>
              <a:lstStyle/>
              <a:p>
                <a:pPr>
                  <a:defRPr/>
                </a:pPr>
                <a:r>
                  <a:rPr lang="en-GB"/>
                  <a:t>OC(G$)</a:t>
                </a:r>
              </a:p>
            </c:rich>
          </c:tx>
          <c:overlay val="0"/>
        </c:title>
        <c:numFmt formatCode="0" sourceLinked="0"/>
        <c:majorTickMark val="in"/>
        <c:minorTickMark val="in"/>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2577295"/>
        <c:crosses val="autoZero"/>
        <c:crossBetween val="midCat"/>
      </c:valAx>
      <c:spPr>
        <a:ln>
          <a:solidFill>
            <a:schemeClr val="tx1">
              <a:lumMod val="25000"/>
              <a:lumOff val="75000"/>
            </a:schemeClr>
          </a:solidFill>
        </a:ln>
      </c:spPr>
    </c:plotArea>
    <c:legend>
      <c:legendPos val="r"/>
      <c:layout>
        <c:manualLayout>
          <c:xMode val="edge"/>
          <c:yMode val="edge"/>
          <c:x val="0.72054584203233674"/>
          <c:y val="0.18016779694445706"/>
          <c:w val="0.21528302296387178"/>
          <c:h val="6.9683673933821855E-2"/>
        </c:manualLayout>
      </c:layout>
      <c:overlay val="1"/>
    </c:legend>
    <c:plotVisOnly val="1"/>
    <c:dispBlanksAs val="gap"/>
    <c:showDLblsOverMax val="0"/>
    <c:extLst/>
  </c:chart>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Overnight Cost over time</a:t>
            </a:r>
            <a:endParaRPr lang="en-GB" baseline="0"/>
          </a:p>
        </c:rich>
      </c:tx>
      <c:layout>
        <c:manualLayout>
          <c:xMode val="edge"/>
          <c:yMode val="edge"/>
          <c:x val="0.31529398950954463"/>
          <c:y val="2.2092455206105019E-2"/>
        </c:manualLayout>
      </c:layout>
      <c:overlay val="0"/>
      <c:spPr>
        <a:noFill/>
        <a:ln>
          <a:noFill/>
        </a:ln>
        <a:effectLst/>
      </c:spPr>
    </c:title>
    <c:autoTitleDeleted val="0"/>
    <c:plotArea>
      <c:layout/>
      <c:scatterChart>
        <c:scatterStyle val="smoothMarker"/>
        <c:varyColors val="0"/>
        <c:ser>
          <c:idx val="0"/>
          <c:order val="0"/>
          <c:tx>
            <c:v>Overnight Cost</c:v>
          </c:tx>
          <c:marker>
            <c:symbol val="diamond"/>
            <c:size val="4"/>
          </c:marker>
          <c:xVal>
            <c:numRef>
              <c:f>Sheet1!$AB$8:$AB$108</c:f>
              <c:numCache>
                <c:formatCode>0</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Sheet1!$AE$8:$AE$108</c:f>
              <c:numCache>
                <c:formatCode>0.0000</c:formatCode>
                <c:ptCount val="101"/>
                <c:pt idx="1">
                  <c:v>20</c:v>
                </c:pt>
                <c:pt idx="2">
                  <c:v>19.481000257907517</c:v>
                </c:pt>
                <c:pt idx="3">
                  <c:v>18.976633523074177</c:v>
                </c:pt>
                <c:pt idx="4">
                  <c:v>18.486183749254739</c:v>
                </c:pt>
                <c:pt idx="5">
                  <c:v>18.009153580717527</c:v>
                </c:pt>
                <c:pt idx="6">
                  <c:v>17.545111903202198</c:v>
                </c:pt>
                <c:pt idx="7">
                  <c:v>17.09366343335067</c:v>
                </c:pt>
                <c:pt idx="8">
                  <c:v>16.654437339815694</c:v>
                </c:pt>
                <c:pt idx="9">
                  <c:v>16.227081767564805</c:v>
                </c:pt>
                <c:pt idx="10">
                  <c:v>15.811260327891619</c:v>
                </c:pt>
                <c:pt idx="11">
                  <c:v>15.40665023767126</c:v>
                </c:pt>
                <c:pt idx="12">
                  <c:v>15.012940865650467</c:v>
                </c:pt>
                <c:pt idx="13">
                  <c:v>14.629833043914442</c:v>
                </c:pt>
                <c:pt idx="14">
                  <c:v>14.257037061985525</c:v>
                </c:pt>
                <c:pt idx="15">
                  <c:v>13.894273675649082</c:v>
                </c:pt>
                <c:pt idx="16">
                  <c:v>13.541272713947091</c:v>
                </c:pt>
                <c:pt idx="17">
                  <c:v>13.197772792289324</c:v>
                </c:pt>
                <c:pt idx="18">
                  <c:v>12.863520804363592</c:v>
                </c:pt>
                <c:pt idx="19">
                  <c:v>12.538272251905887</c:v>
                </c:pt>
                <c:pt idx="20">
                  <c:v>12.221789337642841</c:v>
                </c:pt>
                <c:pt idx="21">
                  <c:v>11.913843810156804</c:v>
                </c:pt>
                <c:pt idx="22">
                  <c:v>11.614213040866634</c:v>
                </c:pt>
                <c:pt idx="23">
                  <c:v>11.322682522290798</c:v>
                </c:pt>
                <c:pt idx="24">
                  <c:v>11.039044870562202</c:v>
                </c:pt>
                <c:pt idx="25">
                  <c:v>10.763099693564461</c:v>
                </c:pt>
                <c:pt idx="26">
                  <c:v>10.49465354890298</c:v>
                </c:pt>
                <c:pt idx="27">
                  <c:v>10.233519928225155</c:v>
                </c:pt>
                <c:pt idx="28">
                  <c:v>9.9795192719909398</c:v>
                </c:pt>
                <c:pt idx="29">
                  <c:v>9.7324790197879807</c:v>
                </c:pt>
                <c:pt idx="30">
                  <c:v>9.4922337025464056</c:v>
                </c:pt>
                <c:pt idx="31">
                  <c:v>9.2586252330626202</c:v>
                </c:pt>
                <c:pt idx="32">
                  <c:v>9.0301169393219887</c:v>
                </c:pt>
                <c:pt idx="33">
                  <c:v>8.8082139983275525</c:v>
                </c:pt>
                <c:pt idx="34">
                  <c:v>8.5927344945647448</c:v>
                </c:pt>
                <c:pt idx="35">
                  <c:v>8.3835137523492644</c:v>
                </c:pt>
                <c:pt idx="36">
                  <c:v>8.1804054079590625</c:v>
                </c:pt>
                <c:pt idx="37">
                  <c:v>7.9832798294582172</c:v>
                </c:pt>
                <c:pt idx="38">
                  <c:v>7.7920243739276183</c:v>
                </c:pt>
                <c:pt idx="39">
                  <c:v>7.6065470466156304</c:v>
                </c:pt>
                <c:pt idx="40">
                  <c:v>7.4267774846623125</c:v>
                </c:pt>
                <c:pt idx="41">
                  <c:v>7.2526734727076025</c:v>
                </c:pt>
                <c:pt idx="42">
                  <c:v>7.0842248867128035</c:v>
                </c:pt>
                <c:pt idx="43">
                  <c:v>6.9214684287999608</c:v>
                </c:pt>
                <c:pt idx="44">
                  <c:v>6.7645025808064094</c:v>
                </c:pt>
                <c:pt idx="45">
                  <c:v>6.6135185909075034</c:v>
                </c:pt>
                <c:pt idx="46">
                  <c:v>6.4688558136077825</c:v>
                </c:pt>
                <c:pt idx="47">
                  <c:v>6.3311037406033073</c:v>
                </c:pt>
                <c:pt idx="48">
                  <c:v>6.2013361328120542</c:v>
                </c:pt>
                <c:pt idx="49">
                  <c:v>6.08170162049253</c:v>
                </c:pt>
                <c:pt idx="50">
                  <c:v>5.9775459620192564</c:v>
                </c:pt>
                <c:pt idx="51">
                  <c:v>5.913672288250627</c:v>
                </c:pt>
                <c:pt idx="52">
                  <c:v>5.9120388138612636</c:v>
                </c:pt>
                <c:pt idx="53">
                  <c:v>5.9101158390573669</c:v>
                </c:pt>
                <c:pt idx="54">
                  <c:v>5.9078539365592597</c:v>
                </c:pt>
                <c:pt idx="55">
                  <c:v>5.9051958301625014</c:v>
                </c:pt>
                <c:pt idx="56">
                  <c:v>5.902075344592336</c:v>
                </c:pt>
                <c:pt idx="57">
                  <c:v>5.8984162838441021</c:v>
                </c:pt>
                <c:pt idx="58">
                  <c:v>5.8941312604285958</c:v>
                </c:pt>
                <c:pt idx="59">
                  <c:v>5.8891205111138314</c:v>
                </c:pt>
                <c:pt idx="60">
                  <c:v>5.8832707518326934</c:v>
                </c:pt>
                <c:pt idx="61">
                  <c:v>5.876454150610213</c:v>
                </c:pt>
                <c:pt idx="62">
                  <c:v>5.8684746612306267</c:v>
                </c:pt>
                <c:pt idx="63">
                  <c:v>5.8592176515804777</c:v>
                </c:pt>
                <c:pt idx="64">
                  <c:v>5.8485072264469826</c:v>
                </c:pt>
                <c:pt idx="65">
                  <c:v>5.8361524101315645</c:v>
                </c:pt>
                <c:pt idx="66">
                  <c:v>5.8219490215879608</c:v>
                </c:pt>
                <c:pt idx="67">
                  <c:v>5.8056826348992061</c:v>
                </c:pt>
                <c:pt idx="68">
                  <c:v>5.7871330994562555</c:v>
                </c:pt>
                <c:pt idx="69">
                  <c:v>5.7660811766855113</c:v>
                </c:pt>
                <c:pt idx="70">
                  <c:v>5.7423170236887895</c:v>
                </c:pt>
                <c:pt idx="71">
                  <c:v>5.7156516065638305</c:v>
                </c:pt>
                <c:pt idx="72">
                  <c:v>5.6859302832655061</c:v>
                </c:pt>
                <c:pt idx="73">
                  <c:v>5.6530507853510823</c:v>
                </c:pt>
                <c:pt idx="74">
                  <c:v>5.616984574502851</c:v>
                </c:pt>
                <c:pt idx="75">
                  <c:v>5.5778054309498151</c:v>
                </c:pt>
                <c:pt idx="76">
                  <c:v>5.5357303793154733</c:v>
                </c:pt>
                <c:pt idx="77">
                  <c:v>5.4911848987777576</c:v>
                </c:pt>
                <c:pt idx="78">
                  <c:v>5.444932981845044</c:v>
                </c:pt>
                <c:pt idx="79">
                  <c:v>5.3983879948784068</c:v>
                </c:pt>
                <c:pt idx="80">
                  <c:v>5.3546738810727055</c:v>
                </c:pt>
                <c:pt idx="81">
                  <c:v>5.326350187029691</c:v>
                </c:pt>
                <c:pt idx="82">
                  <c:v>5.3256104938456215</c:v>
                </c:pt>
                <c:pt idx="83">
                  <c:v>5.3247387177838226</c:v>
                </c:pt>
                <c:pt idx="84">
                  <c:v>5.3237119226679486</c:v>
                </c:pt>
                <c:pt idx="85">
                  <c:v>5.3225033803255686</c:v>
                </c:pt>
                <c:pt idx="86">
                  <c:v>5.3210820041106421</c:v>
                </c:pt>
                <c:pt idx="87">
                  <c:v>5.3194117182637886</c:v>
                </c:pt>
                <c:pt idx="88">
                  <c:v>5.3174507633995951</c:v>
                </c:pt>
                <c:pt idx="89">
                  <c:v>5.3151509419550251</c:v>
                </c:pt>
                <c:pt idx="90">
                  <c:v>5.3124568125194616</c:v>
                </c:pt>
                <c:pt idx="91">
                  <c:v>5.3093048512249199</c:v>
                </c:pt>
                <c:pt idx="92">
                  <c:v>5.3055979899036014</c:v>
                </c:pt>
                <c:pt idx="93">
                  <c:v>5.3012743903538375</c:v>
                </c:pt>
                <c:pt idx="94">
                  <c:v>5.2962407061574499</c:v>
                </c:pt>
                <c:pt idx="95">
                  <c:v>5.2903924578763339</c:v>
                </c:pt>
                <c:pt idx="96">
                  <c:v>5.2836137916414252</c:v>
                </c:pt>
                <c:pt idx="97">
                  <c:v>5.2757775767541268</c:v>
                </c:pt>
                <c:pt idx="98">
                  <c:v>5.2667461073364095</c:v>
                </c:pt>
                <c:pt idx="99">
                  <c:v>5.2563727667474929</c:v>
                </c:pt>
                <c:pt idx="100">
                  <c:v>5.2445046780469786</c:v>
                </c:pt>
              </c:numCache>
            </c:numRef>
          </c:yVal>
          <c:smooth val="1"/>
          <c:extLst>
            <c:ext xmlns:c16="http://schemas.microsoft.com/office/drawing/2014/chart" uri="{C3380CC4-5D6E-409C-BE32-E72D297353CC}">
              <c16:uniqueId val="{00000000-E691-4568-98AD-C23A7AC5E99C}"/>
            </c:ext>
          </c:extLst>
        </c:ser>
        <c:dLbls>
          <c:showLegendKey val="0"/>
          <c:showVal val="0"/>
          <c:showCatName val="0"/>
          <c:showSerName val="0"/>
          <c:showPercent val="0"/>
          <c:showBubbleSize val="0"/>
        </c:dLbls>
        <c:axId val="1292577295"/>
        <c:axId val="1296221023"/>
        <c:extLst/>
      </c:scatterChart>
      <c:valAx>
        <c:axId val="1292577295"/>
        <c:scaling>
          <c:orientation val="minMax"/>
        </c:scaling>
        <c:delete val="0"/>
        <c:axPos val="b"/>
        <c:majorGridlines>
          <c:spPr>
            <a:ln>
              <a:solidFill>
                <a:schemeClr val="bg1">
                  <a:lumMod val="95000"/>
                </a:schemeClr>
              </a:solidFill>
            </a:ln>
            <a:effectLst/>
          </c:spPr>
        </c:majorGridlines>
        <c:title>
          <c:tx>
            <c:rich>
              <a:bodyPr/>
              <a:lstStyle/>
              <a:p>
                <a:pPr>
                  <a:defRPr/>
                </a:pPr>
                <a:r>
                  <a:rPr lang="en-GB"/>
                  <a:t>t (years)</a:t>
                </a:r>
              </a:p>
              <a:p>
                <a:pPr>
                  <a:defRPr/>
                </a:pPr>
                <a:endParaRPr lang="en-GB"/>
              </a:p>
            </c:rich>
          </c:tx>
          <c:overlay val="0"/>
        </c:title>
        <c:numFmt formatCode="0" sourceLinked="1"/>
        <c:majorTickMark val="in"/>
        <c:minorTickMark val="in"/>
        <c:tickLblPos val="low"/>
        <c:spPr>
          <a:noFill/>
          <a:ln w="9525" cap="flat" cmpd="sng" algn="ctr">
            <a:solidFill>
              <a:schemeClr val="tx1">
                <a:lumMod val="25000"/>
                <a:lumOff val="75000"/>
              </a:schemeClr>
            </a:solidFill>
            <a:round/>
          </a:ln>
          <a:effectLst/>
        </c:spPr>
        <c:txPr>
          <a:bodyPr rot="0" spcFirstLastPara="1" vertOverflow="ellipsis" vert="horz" wrap="square" anchor="b" anchorCtr="0"/>
          <a:lstStyle/>
          <a:p>
            <a:pPr>
              <a:defRPr sz="900" b="0" i="0" u="none" strike="noStrike" kern="1200" baseline="0">
                <a:solidFill>
                  <a:schemeClr val="tx1">
                    <a:lumMod val="65000"/>
                    <a:lumOff val="35000"/>
                  </a:schemeClr>
                </a:solidFill>
                <a:latin typeface="+mn-lt"/>
                <a:ea typeface="+mn-ea"/>
                <a:cs typeface="+mn-cs"/>
              </a:defRPr>
            </a:pPr>
            <a:endParaRPr lang="en-US"/>
          </a:p>
        </c:txPr>
        <c:crossAx val="1296221023"/>
        <c:crosses val="autoZero"/>
        <c:crossBetween val="midCat"/>
      </c:valAx>
      <c:valAx>
        <c:axId val="1296221023"/>
        <c:scaling>
          <c:orientation val="minMax"/>
        </c:scaling>
        <c:delete val="0"/>
        <c:axPos val="l"/>
        <c:majorGridlines>
          <c:spPr>
            <a:ln>
              <a:solidFill>
                <a:schemeClr val="bg1">
                  <a:lumMod val="95000"/>
                </a:schemeClr>
              </a:solidFill>
            </a:ln>
            <a:effectLst/>
          </c:spPr>
        </c:majorGridlines>
        <c:title>
          <c:tx>
            <c:rich>
              <a:bodyPr/>
              <a:lstStyle/>
              <a:p>
                <a:pPr>
                  <a:defRPr/>
                </a:pPr>
                <a:r>
                  <a:rPr lang="en-GB"/>
                  <a:t>OC(G$)</a:t>
                </a:r>
              </a:p>
            </c:rich>
          </c:tx>
          <c:overlay val="0"/>
        </c:title>
        <c:numFmt formatCode="0" sourceLinked="0"/>
        <c:majorTickMark val="in"/>
        <c:minorTickMark val="in"/>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2577295"/>
        <c:crosses val="autoZero"/>
        <c:crossBetween val="midCat"/>
      </c:valAx>
      <c:spPr>
        <a:ln>
          <a:solidFill>
            <a:schemeClr val="tx1">
              <a:lumMod val="25000"/>
              <a:lumOff val="75000"/>
            </a:schemeClr>
          </a:solidFill>
        </a:ln>
      </c:spPr>
    </c:plotArea>
    <c:legend>
      <c:legendPos val="r"/>
      <c:layout>
        <c:manualLayout>
          <c:xMode val="edge"/>
          <c:yMode val="edge"/>
          <c:x val="0.72054584203233674"/>
          <c:y val="0.18016779694445706"/>
          <c:w val="0.21528302296387178"/>
          <c:h val="6.9683673933821855E-2"/>
        </c:manualLayout>
      </c:layout>
      <c:overlay val="1"/>
    </c:legend>
    <c:plotVisOnly val="1"/>
    <c:dispBlanksAs val="gap"/>
    <c:showDLblsOverMax val="0"/>
    <c:extLst/>
  </c:chart>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2">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9525" cap="rnd">
        <a:solidFill>
          <a:schemeClr val="phClr"/>
        </a:solidFill>
        <a:round/>
      </a:ln>
    </cs:spPr>
  </cs:dataPointLine>
  <cs:dataPointMarker>
    <cs:lnRef idx="0">
      <cs:styleClr val="auto"/>
    </cs:lnRef>
    <cs:fillRef idx="3">
      <cs:styleClr val="auto"/>
    </cs:fillRef>
    <cs:effectRef idx="2"/>
    <cs:fontRef idx="minor">
      <a:schemeClr val="tx2"/>
    </cs:fontRef>
    <cs:spPr>
      <a:ln w="9525">
        <a:solidFill>
          <a:schemeClr val="phClr"/>
        </a:solidFill>
        <a:round/>
      </a:ln>
    </cs:spPr>
  </cs:dataPointMarker>
  <cs:dataPointMarkerLayout symbol="circle" size="5"/>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9525" cap="rnd">
        <a:solidFill>
          <a:schemeClr val="phClr"/>
        </a:solidFill>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spPr>
      <a:ln>
        <a:solidFill>
          <a:schemeClr val="tx2">
            <a:lumMod val="40000"/>
            <a:lumOff val="60000"/>
          </a:schemeClr>
        </a:solidFill>
      </a:ln>
    </cs:spPr>
    <cs:defRPr sz="900" kern="1200"/>
  </cs:valueAxis>
  <cs:wall>
    <cs:lnRef idx="0"/>
    <cs:fillRef idx="0"/>
    <cs:effectRef idx="0"/>
    <cs:fontRef idx="minor">
      <a:schemeClr val="tx2"/>
    </cs:fontRef>
  </cs:wall>
</cs:chartStyle>
</file>

<file path=xl/charts/style2.xml><?xml version="1.0" encoding="utf-8"?>
<cs:chartStyle xmlns:cs="http://schemas.microsoft.com/office/drawing/2012/chartStyle" xmlns:a="http://schemas.openxmlformats.org/drawingml/2006/main" id="242">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9525" cap="rnd">
        <a:solidFill>
          <a:schemeClr val="phClr"/>
        </a:solidFill>
        <a:round/>
      </a:ln>
    </cs:spPr>
  </cs:dataPointLine>
  <cs:dataPointMarker>
    <cs:lnRef idx="0">
      <cs:styleClr val="auto"/>
    </cs:lnRef>
    <cs:fillRef idx="3">
      <cs:styleClr val="auto"/>
    </cs:fillRef>
    <cs:effectRef idx="2"/>
    <cs:fontRef idx="minor">
      <a:schemeClr val="tx2"/>
    </cs:fontRef>
    <cs:spPr>
      <a:ln w="9525">
        <a:solidFill>
          <a:schemeClr val="phClr"/>
        </a:solidFill>
        <a:round/>
      </a:ln>
    </cs:spPr>
  </cs:dataPointMarker>
  <cs:dataPointMarkerLayout symbol="circle" size="5"/>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9525" cap="rnd">
        <a:solidFill>
          <a:schemeClr val="phClr"/>
        </a:solidFill>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spPr>
      <a:ln>
        <a:solidFill>
          <a:schemeClr val="tx2">
            <a:lumMod val="40000"/>
            <a:lumOff val="60000"/>
          </a:schemeClr>
        </a:solidFill>
      </a:ln>
    </cs:spPr>
    <cs:defRPr sz="900" kern="1200"/>
  </cs:valueAxis>
  <cs:wall>
    <cs:lnRef idx="0"/>
    <cs:fillRef idx="0"/>
    <cs:effectRef idx="0"/>
    <cs:fontRef idx="minor">
      <a:schemeClr val="tx2"/>
    </cs:fontRef>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 Id="rId9" Type="http://schemas.openxmlformats.org/officeDocument/2006/relationships/chart" Target="../charts/chart9.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7.emf"/><Relationship Id="rId2" Type="http://schemas.openxmlformats.org/officeDocument/2006/relationships/image" Target="../media/image6.emf"/><Relationship Id="rId1" Type="http://schemas.openxmlformats.org/officeDocument/2006/relationships/image" Target="../media/image5.emf"/><Relationship Id="rId4"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xdr:twoCellAnchor>
    <xdr:from>
      <xdr:col>0</xdr:col>
      <xdr:colOff>0</xdr:colOff>
      <xdr:row>22</xdr:row>
      <xdr:rowOff>95250</xdr:rowOff>
    </xdr:from>
    <xdr:to>
      <xdr:col>2</xdr:col>
      <xdr:colOff>1209675</xdr:colOff>
      <xdr:row>28</xdr:row>
      <xdr:rowOff>76200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0" y="4819650"/>
          <a:ext cx="3190875" cy="1295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y value</a:t>
          </a:r>
          <a:r>
            <a:rPr lang="en-GB" sz="1100" baseline="0"/>
            <a:t> is 3 due to choosing 1000, 10^3 as the maximal amount of powerplants.</a:t>
          </a:r>
          <a:endParaRPr lang="en-GB" sz="1100"/>
        </a:p>
      </xdr:txBody>
    </xdr:sp>
    <xdr:clientData/>
  </xdr:twoCellAnchor>
  <xdr:twoCellAnchor>
    <xdr:from>
      <xdr:col>0</xdr:col>
      <xdr:colOff>0</xdr:colOff>
      <xdr:row>29</xdr:row>
      <xdr:rowOff>9525</xdr:rowOff>
    </xdr:from>
    <xdr:to>
      <xdr:col>3</xdr:col>
      <xdr:colOff>0</xdr:colOff>
      <xdr:row>34</xdr:row>
      <xdr:rowOff>47625</xdr:rowOff>
    </xdr:to>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0" y="6257925"/>
          <a:ext cx="3219450" cy="11334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LOG10(2)/SlopeB(on log(Y) scale) = Doubling time</a:t>
          </a:r>
        </a:p>
        <a:p>
          <a:endParaRPr lang="en-GB" sz="1100"/>
        </a:p>
        <a:p>
          <a:r>
            <a:rPr lang="en-GB" sz="1100"/>
            <a:t>https://blogs.sas.com/content/iml/2020/04/01/estimate-doubling-time-exponential-growth.html</a:t>
          </a:r>
        </a:p>
        <a:p>
          <a:endParaRPr lang="en-GB" sz="1100"/>
        </a:p>
        <a:p>
          <a:endParaRPr lang="en-GB" sz="1100"/>
        </a:p>
      </xdr:txBody>
    </xdr:sp>
    <xdr:clientData/>
  </xdr:twoCellAnchor>
  <mc:AlternateContent xmlns:mc="http://schemas.openxmlformats.org/markup-compatibility/2006">
    <mc:Choice xmlns:a14="http://schemas.microsoft.com/office/drawing/2010/main" Requires="a14">
      <xdr:twoCellAnchor editAs="oneCell">
        <xdr:from>
          <xdr:col>12</xdr:col>
          <xdr:colOff>504825</xdr:colOff>
          <xdr:row>14</xdr:row>
          <xdr:rowOff>209550</xdr:rowOff>
        </xdr:from>
        <xdr:to>
          <xdr:col>14</xdr:col>
          <xdr:colOff>47625</xdr:colOff>
          <xdr:row>16</xdr:row>
          <xdr:rowOff>123825</xdr:rowOff>
        </xdr:to>
        <xdr:pic>
          <xdr:nvPicPr>
            <xdr:cNvPr id="2042" name="Picture 15">
              <a:extLst>
                <a:ext uri="{FF2B5EF4-FFF2-40B4-BE49-F238E27FC236}">
                  <a16:creationId xmlns:a16="http://schemas.microsoft.com/office/drawing/2014/main" id="{00000000-0008-0000-0000-0000FA070000}"/>
                </a:ext>
              </a:extLst>
            </xdr:cNvPr>
            <xdr:cNvPicPr>
              <a:picLocks noChangeAspect="1" noChangeArrowheads="1"/>
              <a:extLst>
                <a:ext uri="{84589F7E-364E-4C9E-8A38-B11213B215E9}">
                  <a14:cameraTool cellRange="Sheet1!$M$7" spid="_x0000_s15709"/>
                </a:ext>
              </a:extLst>
            </xdr:cNvPicPr>
          </xdr:nvPicPr>
          <xdr:blipFill>
            <a:blip xmlns:r="http://schemas.openxmlformats.org/officeDocument/2006/relationships" r:embed="rId1"/>
            <a:srcRect/>
            <a:stretch>
              <a:fillRect/>
            </a:stretch>
          </xdr:blipFill>
          <xdr:spPr bwMode="auto">
            <a:xfrm>
              <a:off x="10172700" y="3181350"/>
              <a:ext cx="1066800" cy="352425"/>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409575</xdr:colOff>
          <xdr:row>8</xdr:row>
          <xdr:rowOff>152400</xdr:rowOff>
        </xdr:from>
        <xdr:to>
          <xdr:col>19</xdr:col>
          <xdr:colOff>47625</xdr:colOff>
          <xdr:row>10</xdr:row>
          <xdr:rowOff>47625</xdr:rowOff>
        </xdr:to>
        <xdr:pic>
          <xdr:nvPicPr>
            <xdr:cNvPr id="2043" name="Picture 19">
              <a:extLst>
                <a:ext uri="{FF2B5EF4-FFF2-40B4-BE49-F238E27FC236}">
                  <a16:creationId xmlns:a16="http://schemas.microsoft.com/office/drawing/2014/main" id="{00000000-0008-0000-0000-0000FB070000}"/>
                </a:ext>
              </a:extLst>
            </xdr:cNvPr>
            <xdr:cNvPicPr>
              <a:picLocks noChangeAspect="1" noChangeArrowheads="1"/>
              <a:extLst>
                <a:ext uri="{84589F7E-364E-4C9E-8A38-B11213B215E9}">
                  <a14:cameraTool cellRange="Sheet1!$N$7" spid="_x0000_s15710"/>
                </a:ext>
              </a:extLst>
            </xdr:cNvPicPr>
          </xdr:nvPicPr>
          <xdr:blipFill>
            <a:blip xmlns:r="http://schemas.openxmlformats.org/officeDocument/2006/relationships" r:embed="rId2"/>
            <a:srcRect/>
            <a:stretch>
              <a:fillRect/>
            </a:stretch>
          </xdr:blipFill>
          <xdr:spPr bwMode="auto">
            <a:xfrm>
              <a:off x="13544550" y="1809750"/>
              <a:ext cx="1466850" cy="333375"/>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342900</xdr:colOff>
          <xdr:row>14</xdr:row>
          <xdr:rowOff>133350</xdr:rowOff>
        </xdr:from>
        <xdr:to>
          <xdr:col>20</xdr:col>
          <xdr:colOff>104775</xdr:colOff>
          <xdr:row>15</xdr:row>
          <xdr:rowOff>171450</xdr:rowOff>
        </xdr:to>
        <xdr:pic>
          <xdr:nvPicPr>
            <xdr:cNvPr id="2044" name="Picture 21">
              <a:extLst>
                <a:ext uri="{FF2B5EF4-FFF2-40B4-BE49-F238E27FC236}">
                  <a16:creationId xmlns:a16="http://schemas.microsoft.com/office/drawing/2014/main" id="{00000000-0008-0000-0000-0000FC070000}"/>
                </a:ext>
              </a:extLst>
            </xdr:cNvPr>
            <xdr:cNvPicPr>
              <a:picLocks noChangeAspect="1" noChangeArrowheads="1"/>
              <a:extLst>
                <a:ext uri="{84589F7E-364E-4C9E-8A38-B11213B215E9}">
                  <a14:cameraTool cellRange="Sheet1!$C$3" spid="_x0000_s15711"/>
                </a:ext>
              </a:extLst>
            </xdr:cNvPicPr>
          </xdr:nvPicPr>
          <xdr:blipFill>
            <a:blip xmlns:r="http://schemas.openxmlformats.org/officeDocument/2006/relationships" r:embed="rId3"/>
            <a:srcRect/>
            <a:stretch>
              <a:fillRect/>
            </a:stretch>
          </xdr:blipFill>
          <xdr:spPr bwMode="auto">
            <a:xfrm>
              <a:off x="14087475" y="3105150"/>
              <a:ext cx="1590675" cy="257175"/>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600075</xdr:colOff>
          <xdr:row>9</xdr:row>
          <xdr:rowOff>47625</xdr:rowOff>
        </xdr:from>
        <xdr:to>
          <xdr:col>14</xdr:col>
          <xdr:colOff>66675</xdr:colOff>
          <xdr:row>10</xdr:row>
          <xdr:rowOff>152400</xdr:rowOff>
        </xdr:to>
        <xdr:pic>
          <xdr:nvPicPr>
            <xdr:cNvPr id="2045" name="Picture 23">
              <a:extLst>
                <a:ext uri="{FF2B5EF4-FFF2-40B4-BE49-F238E27FC236}">
                  <a16:creationId xmlns:a16="http://schemas.microsoft.com/office/drawing/2014/main" id="{00000000-0008-0000-0000-0000FD070000}"/>
                </a:ext>
              </a:extLst>
            </xdr:cNvPr>
            <xdr:cNvPicPr>
              <a:picLocks noChangeAspect="1" noChangeArrowheads="1"/>
              <a:extLst>
                <a:ext uri="{84589F7E-364E-4C9E-8A38-B11213B215E9}">
                  <a14:cameraTool cellRange="Sheet1!$E$3" spid="_x0000_s15712"/>
                </a:ext>
              </a:extLst>
            </xdr:cNvPicPr>
          </xdr:nvPicPr>
          <xdr:blipFill>
            <a:blip xmlns:r="http://schemas.openxmlformats.org/officeDocument/2006/relationships" r:embed="rId4"/>
            <a:srcRect/>
            <a:stretch>
              <a:fillRect/>
            </a:stretch>
          </xdr:blipFill>
          <xdr:spPr bwMode="auto">
            <a:xfrm>
              <a:off x="10267950" y="1924050"/>
              <a:ext cx="990600" cy="32385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409575</xdr:colOff>
          <xdr:row>8</xdr:row>
          <xdr:rowOff>152400</xdr:rowOff>
        </xdr:from>
        <xdr:to>
          <xdr:col>19</xdr:col>
          <xdr:colOff>47625</xdr:colOff>
          <xdr:row>10</xdr:row>
          <xdr:rowOff>47625</xdr:rowOff>
        </xdr:to>
        <xdr:pic>
          <xdr:nvPicPr>
            <xdr:cNvPr id="2047" name="Picture 1023">
              <a:extLst>
                <a:ext uri="{FF2B5EF4-FFF2-40B4-BE49-F238E27FC236}">
                  <a16:creationId xmlns:a16="http://schemas.microsoft.com/office/drawing/2014/main" id="{00000000-0008-0000-0000-0000FF070000}"/>
                </a:ext>
              </a:extLst>
            </xdr:cNvPr>
            <xdr:cNvPicPr>
              <a:picLocks noChangeAspect="1" noChangeArrowheads="1"/>
              <a:extLst>
                <a:ext uri="{84589F7E-364E-4C9E-8A38-B11213B215E9}">
                  <a14:cameraTool cellRange="Sheet1!$N$7" spid="_x0000_s15713"/>
                </a:ext>
              </a:extLst>
            </xdr:cNvPicPr>
          </xdr:nvPicPr>
          <xdr:blipFill>
            <a:blip xmlns:r="http://schemas.openxmlformats.org/officeDocument/2006/relationships" r:embed="rId2"/>
            <a:srcRect/>
            <a:stretch>
              <a:fillRect/>
            </a:stretch>
          </xdr:blipFill>
          <xdr:spPr bwMode="auto">
            <a:xfrm>
              <a:off x="13544550" y="1809750"/>
              <a:ext cx="1466850" cy="333375"/>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342900</xdr:colOff>
          <xdr:row>14</xdr:row>
          <xdr:rowOff>133350</xdr:rowOff>
        </xdr:from>
        <xdr:to>
          <xdr:col>20</xdr:col>
          <xdr:colOff>104775</xdr:colOff>
          <xdr:row>15</xdr:row>
          <xdr:rowOff>171450</xdr:rowOff>
        </xdr:to>
        <xdr:pic>
          <xdr:nvPicPr>
            <xdr:cNvPr id="6144" name="Picture 1024">
              <a:extLst>
                <a:ext uri="{FF2B5EF4-FFF2-40B4-BE49-F238E27FC236}">
                  <a16:creationId xmlns:a16="http://schemas.microsoft.com/office/drawing/2014/main" id="{00000000-0008-0000-0000-000000180000}"/>
                </a:ext>
              </a:extLst>
            </xdr:cNvPr>
            <xdr:cNvPicPr>
              <a:picLocks noChangeAspect="1" noChangeArrowheads="1"/>
              <a:extLst>
                <a:ext uri="{84589F7E-364E-4C9E-8A38-B11213B215E9}">
                  <a14:cameraTool cellRange="Sheet1!$C$3" spid="_x0000_s15714"/>
                </a:ext>
              </a:extLst>
            </xdr:cNvPicPr>
          </xdr:nvPicPr>
          <xdr:blipFill>
            <a:blip xmlns:r="http://schemas.openxmlformats.org/officeDocument/2006/relationships" r:embed="rId3"/>
            <a:srcRect/>
            <a:stretch>
              <a:fillRect/>
            </a:stretch>
          </xdr:blipFill>
          <xdr:spPr bwMode="auto">
            <a:xfrm>
              <a:off x="14087475" y="3105150"/>
              <a:ext cx="1590675" cy="257175"/>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600075</xdr:colOff>
          <xdr:row>9</xdr:row>
          <xdr:rowOff>47625</xdr:rowOff>
        </xdr:from>
        <xdr:to>
          <xdr:col>14</xdr:col>
          <xdr:colOff>66675</xdr:colOff>
          <xdr:row>10</xdr:row>
          <xdr:rowOff>152400</xdr:rowOff>
        </xdr:to>
        <xdr:pic>
          <xdr:nvPicPr>
            <xdr:cNvPr id="6145" name="Picture 1025">
              <a:extLst>
                <a:ext uri="{FF2B5EF4-FFF2-40B4-BE49-F238E27FC236}">
                  <a16:creationId xmlns:a16="http://schemas.microsoft.com/office/drawing/2014/main" id="{00000000-0008-0000-0000-000001180000}"/>
                </a:ext>
              </a:extLst>
            </xdr:cNvPr>
            <xdr:cNvPicPr>
              <a:picLocks noChangeAspect="1" noChangeArrowheads="1"/>
              <a:extLst>
                <a:ext uri="{84589F7E-364E-4C9E-8A38-B11213B215E9}">
                  <a14:cameraTool cellRange="Sheet1!$E$3" spid="_x0000_s15715"/>
                </a:ext>
              </a:extLst>
            </xdr:cNvPicPr>
          </xdr:nvPicPr>
          <xdr:blipFill>
            <a:blip xmlns:r="http://schemas.openxmlformats.org/officeDocument/2006/relationships" r:embed="rId4"/>
            <a:srcRect/>
            <a:stretch>
              <a:fillRect/>
            </a:stretch>
          </xdr:blipFill>
          <xdr:spPr bwMode="auto">
            <a:xfrm>
              <a:off x="10267950" y="1924050"/>
              <a:ext cx="990600" cy="323850"/>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31</xdr:col>
      <xdr:colOff>76200</xdr:colOff>
      <xdr:row>0</xdr:row>
      <xdr:rowOff>95250</xdr:rowOff>
    </xdr:from>
    <xdr:to>
      <xdr:col>34</xdr:col>
      <xdr:colOff>1009650</xdr:colOff>
      <xdr:row>4</xdr:row>
      <xdr:rowOff>133350</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23469600" y="95250"/>
          <a:ext cx="5600700" cy="8477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Plants, indicates amount of plants at end</a:t>
          </a:r>
          <a:r>
            <a:rPr lang="en-GB" sz="1100" baseline="0"/>
            <a:t> of that year, d/dt indicates how many plants are built during that year to get the amount of plants at end of year. D(Pbr)/dt indicates the change of Pbr compared to last year to end up at that years PBR. So the amount of extra or less plants built that year compared to last years.</a:t>
          </a:r>
          <a:endParaRPr lang="en-GB" sz="1100"/>
        </a:p>
      </xdr:txBody>
    </xdr:sp>
    <xdr:clientData/>
  </xdr:twoCellAnchor>
  <xdr:twoCellAnchor>
    <xdr:from>
      <xdr:col>54</xdr:col>
      <xdr:colOff>152400</xdr:colOff>
      <xdr:row>1</xdr:row>
      <xdr:rowOff>47625</xdr:rowOff>
    </xdr:from>
    <xdr:to>
      <xdr:col>61</xdr:col>
      <xdr:colOff>66675</xdr:colOff>
      <xdr:row>4</xdr:row>
      <xdr:rowOff>28575</xdr:rowOff>
    </xdr:to>
    <xdr:sp macro="" textlink="">
      <xdr:nvSpPr>
        <xdr:cNvPr id="4" name="TextBox 3">
          <a:extLst>
            <a:ext uri="{FF2B5EF4-FFF2-40B4-BE49-F238E27FC236}">
              <a16:creationId xmlns:a16="http://schemas.microsoft.com/office/drawing/2014/main" id="{00000000-0008-0000-0000-000004000000}"/>
            </a:ext>
          </a:extLst>
        </xdr:cNvPr>
        <xdr:cNvSpPr txBox="1"/>
      </xdr:nvSpPr>
      <xdr:spPr>
        <a:xfrm>
          <a:off x="46824900" y="247650"/>
          <a:ext cx="4562475" cy="5905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Change totsal built and cost till sat</a:t>
          </a:r>
          <a:r>
            <a:rPr lang="en-GB" sz="1100" baseline="0"/>
            <a:t> for different deployment time, as the formulas use the fact that deployment time is 50 years.</a:t>
          </a:r>
          <a:endParaRPr lang="en-GB" sz="1100"/>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0</xdr:colOff>
      <xdr:row>1</xdr:row>
      <xdr:rowOff>19050</xdr:rowOff>
    </xdr:from>
    <xdr:to>
      <xdr:col>7</xdr:col>
      <xdr:colOff>552449</xdr:colOff>
      <xdr:row>18</xdr:row>
      <xdr:rowOff>76200</xdr:rowOff>
    </xdr:to>
    <xdr:graphicFrame macro="">
      <xdr:nvGraphicFramePr>
        <xdr:cNvPr id="2" name="Chart 1">
          <a:extLst>
            <a:ext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8</xdr:col>
      <xdr:colOff>219075</xdr:colOff>
      <xdr:row>1</xdr:row>
      <xdr:rowOff>28575</xdr:rowOff>
    </xdr:from>
    <xdr:to>
      <xdr:col>17</xdr:col>
      <xdr:colOff>76199</xdr:colOff>
      <xdr:row>18</xdr:row>
      <xdr:rowOff>85725</xdr:rowOff>
    </xdr:to>
    <xdr:graphicFrame macro="">
      <xdr:nvGraphicFramePr>
        <xdr:cNvPr id="5" name="Chart 4">
          <a:extLst>
            <a:ext uri="{FF2B5EF4-FFF2-40B4-BE49-F238E27FC236}">
              <a16:creationId xmlns:a16="http://schemas.microsoft.com/office/drawing/2014/main" id="{00000000-0008-0000-01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17</xdr:col>
      <xdr:colOff>295275</xdr:colOff>
      <xdr:row>1</xdr:row>
      <xdr:rowOff>66675</xdr:rowOff>
    </xdr:from>
    <xdr:to>
      <xdr:col>26</xdr:col>
      <xdr:colOff>152399</xdr:colOff>
      <xdr:row>18</xdr:row>
      <xdr:rowOff>123825</xdr:rowOff>
    </xdr:to>
    <xdr:graphicFrame macro="">
      <xdr:nvGraphicFramePr>
        <xdr:cNvPr id="6" name="Chart 5">
          <a:extLst>
            <a:ext uri="{FF2B5EF4-FFF2-40B4-BE49-F238E27FC236}">
              <a16:creationId xmlns:a16="http://schemas.microsoft.com/office/drawing/2014/main" id="{00000000-0008-0000-0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19</xdr:row>
      <xdr:rowOff>142875</xdr:rowOff>
    </xdr:from>
    <xdr:to>
      <xdr:col>7</xdr:col>
      <xdr:colOff>114300</xdr:colOff>
      <xdr:row>35</xdr:row>
      <xdr:rowOff>66675</xdr:rowOff>
    </xdr:to>
    <xdr:graphicFrame macro="">
      <xdr:nvGraphicFramePr>
        <xdr:cNvPr id="7" name="Chart 6">
          <a:extLst>
            <a:ext uri="{FF2B5EF4-FFF2-40B4-BE49-F238E27FC236}">
              <a16:creationId xmlns:a16="http://schemas.microsoft.com/office/drawing/2014/main" id="{00000000-0008-0000-0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8</xdr:col>
      <xdr:colOff>333375</xdr:colOff>
      <xdr:row>19</xdr:row>
      <xdr:rowOff>123825</xdr:rowOff>
    </xdr:from>
    <xdr:to>
      <xdr:col>17</xdr:col>
      <xdr:colOff>190499</xdr:colOff>
      <xdr:row>36</xdr:row>
      <xdr:rowOff>180975</xdr:rowOff>
    </xdr:to>
    <xdr:graphicFrame macro="">
      <xdr:nvGraphicFramePr>
        <xdr:cNvPr id="8" name="Chart 7">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18</xdr:col>
      <xdr:colOff>47625</xdr:colOff>
      <xdr:row>19</xdr:row>
      <xdr:rowOff>142875</xdr:rowOff>
    </xdr:from>
    <xdr:to>
      <xdr:col>26</xdr:col>
      <xdr:colOff>514349</xdr:colOff>
      <xdr:row>37</xdr:row>
      <xdr:rowOff>9525</xdr:rowOff>
    </xdr:to>
    <xdr:graphicFrame macro="">
      <xdr:nvGraphicFramePr>
        <xdr:cNvPr id="10" name="Chart 9">
          <a:extLst>
            <a:ext uri="{FF2B5EF4-FFF2-40B4-BE49-F238E27FC236}">
              <a16:creationId xmlns:a16="http://schemas.microsoft.com/office/drawing/2014/main" id="{00000000-0008-0000-0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37</xdr:row>
      <xdr:rowOff>57150</xdr:rowOff>
    </xdr:from>
    <xdr:to>
      <xdr:col>7</xdr:col>
      <xdr:colOff>114300</xdr:colOff>
      <xdr:row>52</xdr:row>
      <xdr:rowOff>171450</xdr:rowOff>
    </xdr:to>
    <xdr:graphicFrame macro="">
      <xdr:nvGraphicFramePr>
        <xdr:cNvPr id="11" name="Chart 10">
          <a:extLst>
            <a:ext uri="{FF2B5EF4-FFF2-40B4-BE49-F238E27FC236}">
              <a16:creationId xmlns:a16="http://schemas.microsoft.com/office/drawing/2014/main" id="{00000000-0008-0000-0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absolute">
    <xdr:from>
      <xdr:col>17</xdr:col>
      <xdr:colOff>447675</xdr:colOff>
      <xdr:row>38</xdr:row>
      <xdr:rowOff>57150</xdr:rowOff>
    </xdr:from>
    <xdr:to>
      <xdr:col>26</xdr:col>
      <xdr:colOff>304799</xdr:colOff>
      <xdr:row>55</xdr:row>
      <xdr:rowOff>114300</xdr:rowOff>
    </xdr:to>
    <xdr:graphicFrame macro="">
      <xdr:nvGraphicFramePr>
        <xdr:cNvPr id="9" name="Chart 8">
          <a:extLst>
            <a:ext uri="{FF2B5EF4-FFF2-40B4-BE49-F238E27FC236}">
              <a16:creationId xmlns:a16="http://schemas.microsoft.com/office/drawing/2014/main" id="{00000000-0008-0000-0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9</xdr:col>
      <xdr:colOff>0</xdr:colOff>
      <xdr:row>55</xdr:row>
      <xdr:rowOff>0</xdr:rowOff>
    </xdr:from>
    <xdr:to>
      <xdr:col>17</xdr:col>
      <xdr:colOff>466724</xdr:colOff>
      <xdr:row>72</xdr:row>
      <xdr:rowOff>57150</xdr:rowOff>
    </xdr:to>
    <xdr:graphicFrame macro="">
      <xdr:nvGraphicFramePr>
        <xdr:cNvPr id="12" name="Chart 11">
          <a:extLst>
            <a:ext uri="{FF2B5EF4-FFF2-40B4-BE49-F238E27FC236}">
              <a16:creationId xmlns:a16="http://schemas.microsoft.com/office/drawing/2014/main" id="{00000000-0008-0000-0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published="0" codeName="Sheet1"/>
  <dimension ref="A1:BS1125"/>
  <sheetViews>
    <sheetView tabSelected="1" topLeftCell="C1" zoomScaleNormal="100" workbookViewId="0">
      <selection activeCell="AU22" sqref="AU22"/>
    </sheetView>
  </sheetViews>
  <sheetFormatPr defaultRowHeight="15" x14ac:dyDescent="0.25"/>
  <cols>
    <col min="1" max="1" width="13.42578125" customWidth="1"/>
    <col min="2" max="2" width="16.28515625" customWidth="1"/>
    <col min="3" max="3" width="18.5703125" customWidth="1"/>
    <col min="4" max="4" width="17.85546875" customWidth="1"/>
    <col min="8" max="8" width="9.140625" style="25"/>
    <col min="9" max="9" width="14.85546875" customWidth="1"/>
    <col min="14" max="14" width="13.7109375" customWidth="1"/>
    <col min="15" max="15" width="15.85546875" customWidth="1"/>
    <col min="16" max="16" width="13.28515625" customWidth="1"/>
    <col min="25" max="25" width="17" style="25" customWidth="1"/>
    <col min="26" max="26" width="18.42578125" bestFit="1" customWidth="1"/>
    <col min="27" max="27" width="4.140625" customWidth="1"/>
    <col min="28" max="28" width="12" style="32" customWidth="1"/>
    <col min="29" max="29" width="10.85546875" style="25" customWidth="1"/>
    <col min="30" max="31" width="9.140625" style="25"/>
    <col min="32" max="32" width="17.140625" style="25" customWidth="1"/>
    <col min="33" max="33" width="26.42578125" style="25" customWidth="1"/>
    <col min="34" max="34" width="11.42578125" style="25" customWidth="1"/>
    <col min="35" max="35" width="15.28515625" style="25" customWidth="1"/>
    <col min="36" max="36" width="8.28515625" customWidth="1"/>
    <col min="37" max="37" width="11.42578125" style="25" customWidth="1"/>
    <col min="38" max="38" width="15.28515625" style="25" customWidth="1"/>
    <col min="39" max="40" width="30.28515625" customWidth="1"/>
    <col min="41" max="41" width="26.42578125" customWidth="1"/>
    <col min="42" max="42" width="14" customWidth="1"/>
    <col min="43" max="43" width="5.7109375" customWidth="1"/>
    <col min="44" max="44" width="14" customWidth="1"/>
    <col min="45" max="45" width="16.5703125" customWidth="1"/>
    <col min="46" max="46" width="20.140625" customWidth="1"/>
    <col min="47" max="47" width="13" customWidth="1"/>
    <col min="48" max="48" width="3.85546875" customWidth="1"/>
    <col min="49" max="49" width="12.140625" customWidth="1"/>
    <col min="50" max="50" width="4" customWidth="1"/>
    <col min="51" max="51" width="2.7109375" customWidth="1"/>
    <col min="52" max="52" width="15.28515625" customWidth="1"/>
    <col min="53" max="53" width="5.85546875" customWidth="1"/>
    <col min="54" max="54" width="14.28515625" customWidth="1"/>
    <col min="55" max="55" width="13.7109375" customWidth="1"/>
    <col min="56" max="56" width="4.5703125" customWidth="1"/>
    <col min="57" max="57" width="12.5703125" customWidth="1"/>
    <col min="58" max="58" width="3" customWidth="1"/>
    <col min="59" max="59" width="3.7109375" customWidth="1"/>
    <col min="60" max="60" width="4.42578125" customWidth="1"/>
    <col min="61" max="61" width="11.28515625" customWidth="1"/>
    <col min="62" max="62" width="10" customWidth="1"/>
    <col min="63" max="63" width="8.28515625" customWidth="1"/>
    <col min="64" max="64" width="8.42578125" customWidth="1"/>
    <col min="65" max="65" width="6.42578125" customWidth="1"/>
    <col min="66" max="66" width="5.42578125" customWidth="1"/>
    <col min="67" max="67" width="10.5703125" bestFit="1" customWidth="1"/>
    <col min="69" max="69" width="2.42578125" customWidth="1"/>
    <col min="70" max="70" width="3" customWidth="1"/>
  </cols>
  <sheetData>
    <row r="1" spans="1:71" ht="15.75" x14ac:dyDescent="0.25">
      <c r="A1" s="39" t="s">
        <v>35</v>
      </c>
      <c r="B1" s="39"/>
      <c r="C1" s="39"/>
      <c r="D1" s="39"/>
      <c r="E1" s="39"/>
      <c r="F1" s="39"/>
      <c r="G1" s="39"/>
      <c r="AP1" s="15" t="s">
        <v>40</v>
      </c>
      <c r="AQ1" s="15" t="s">
        <v>41</v>
      </c>
      <c r="AR1" t="s">
        <v>81</v>
      </c>
      <c r="AT1" t="s">
        <v>82</v>
      </c>
    </row>
    <row r="2" spans="1:71" ht="15.75" x14ac:dyDescent="0.25">
      <c r="A2" t="s">
        <v>37</v>
      </c>
      <c r="B2" t="s">
        <v>36</v>
      </c>
      <c r="C2" t="s">
        <v>38</v>
      </c>
      <c r="D2" t="s">
        <v>43</v>
      </c>
      <c r="E2" t="s">
        <v>47</v>
      </c>
      <c r="G2" t="s">
        <v>69</v>
      </c>
      <c r="AP2">
        <v>10</v>
      </c>
      <c r="AQ2">
        <v>37.97</v>
      </c>
      <c r="AR2">
        <f>E11*SQRT(1+(E3/(LOG10(2)))^2)</f>
        <v>46.333642129889647</v>
      </c>
      <c r="AT2">
        <f>C3-(E3*E11/LOG10(2))</f>
        <v>3.7970128584670277</v>
      </c>
      <c r="BL2" s="39"/>
      <c r="BM2" s="39"/>
    </row>
    <row r="3" spans="1:71" ht="15.75" x14ac:dyDescent="0.25">
      <c r="A3">
        <v>30</v>
      </c>
      <c r="B3">
        <v>3000</v>
      </c>
      <c r="C3" s="8">
        <v>50</v>
      </c>
      <c r="D3">
        <v>20</v>
      </c>
      <c r="E3">
        <f>P7/10</f>
        <v>4</v>
      </c>
      <c r="G3">
        <f>-IMLOG2(0.9)</f>
        <v>0.15200309344505</v>
      </c>
      <c r="V3">
        <f>10^0.3</f>
        <v>1.9952623149688797</v>
      </c>
      <c r="AB3" s="33" t="s">
        <v>42</v>
      </c>
      <c r="AC3" s="30" t="s">
        <v>46</v>
      </c>
      <c r="AQ3" s="43" t="s">
        <v>67</v>
      </c>
      <c r="AR3" s="43"/>
      <c r="AS3" s="43"/>
      <c r="AT3" s="43"/>
      <c r="BL3" s="10"/>
      <c r="BM3" s="10"/>
    </row>
    <row r="4" spans="1:71" ht="16.5" thickBot="1" x14ac:dyDescent="0.3">
      <c r="C4" s="11"/>
      <c r="AB4" s="33"/>
      <c r="AC4" s="30"/>
      <c r="AQ4" s="43"/>
      <c r="AR4" s="43"/>
      <c r="AS4" s="43"/>
      <c r="AT4" s="43"/>
    </row>
    <row r="5" spans="1:71" ht="17.25" thickTop="1" thickBot="1" x14ac:dyDescent="0.3">
      <c r="A5" s="41" t="s">
        <v>27</v>
      </c>
      <c r="B5" s="41"/>
      <c r="C5" s="41"/>
      <c r="D5" s="41"/>
      <c r="E5" s="41"/>
      <c r="F5" s="41"/>
      <c r="G5" s="41"/>
      <c r="H5" s="41"/>
      <c r="I5" s="41"/>
      <c r="J5" s="41"/>
      <c r="L5" s="45" t="s">
        <v>27</v>
      </c>
      <c r="M5" s="46"/>
      <c r="N5" s="46"/>
      <c r="O5" s="46"/>
      <c r="P5" s="35" t="s">
        <v>39</v>
      </c>
      <c r="Q5" s="36"/>
      <c r="R5" s="36"/>
      <c r="S5" s="37"/>
      <c r="AB5" s="32">
        <f ca="1">SUM(AD8:AD108)</f>
        <v>6788.0009534655837</v>
      </c>
      <c r="AC5" s="25">
        <f ca="1">SUM(AF8:AF108)</f>
        <v>42144.550121952241</v>
      </c>
      <c r="AQ5" s="43"/>
      <c r="AR5" s="43"/>
      <c r="AS5" s="43"/>
      <c r="AT5" s="43"/>
      <c r="BJ5" s="39"/>
      <c r="BK5" s="39"/>
      <c r="BL5" s="39"/>
      <c r="BM5" s="39"/>
    </row>
    <row r="6" spans="1:71" ht="17.25" thickTop="1" thickBot="1" x14ac:dyDescent="0.3">
      <c r="A6" s="38" t="s">
        <v>34</v>
      </c>
      <c r="B6" s="38"/>
      <c r="C6" s="38"/>
      <c r="D6" s="38"/>
      <c r="E6" s="38"/>
      <c r="F6" s="6"/>
      <c r="G6" s="47" t="s">
        <v>28</v>
      </c>
      <c r="H6" s="47"/>
      <c r="I6" s="47"/>
      <c r="J6" s="47"/>
      <c r="L6" t="s">
        <v>31</v>
      </c>
      <c r="M6" t="s">
        <v>32</v>
      </c>
      <c r="N6" t="s">
        <v>30</v>
      </c>
      <c r="O6" t="s">
        <v>50</v>
      </c>
      <c r="P6" t="s">
        <v>47</v>
      </c>
      <c r="X6" s="16" t="s">
        <v>25</v>
      </c>
      <c r="Y6" s="28"/>
      <c r="Z6" s="16"/>
      <c r="AA6" s="12"/>
      <c r="AB6" s="42" t="s">
        <v>26</v>
      </c>
      <c r="AC6" s="39"/>
      <c r="AD6" s="39"/>
      <c r="AE6" s="39"/>
      <c r="AF6" s="39"/>
      <c r="AG6" s="39"/>
      <c r="AH6" s="26"/>
      <c r="AI6" s="26"/>
      <c r="AJ6" s="19"/>
      <c r="AK6" s="26"/>
      <c r="AL6" s="26"/>
      <c r="AM6" s="14" t="s">
        <v>53</v>
      </c>
      <c r="AN6" s="14" t="s">
        <v>56</v>
      </c>
      <c r="AO6" s="38" t="s">
        <v>72</v>
      </c>
      <c r="AP6" s="38"/>
      <c r="AQ6" s="38"/>
      <c r="AR6" s="38"/>
      <c r="AS6" s="38"/>
      <c r="AT6" s="38"/>
      <c r="AU6" s="38"/>
      <c r="AV6" s="38"/>
      <c r="AW6" s="14"/>
      <c r="AX6" s="14"/>
      <c r="AZ6" s="23"/>
      <c r="BA6" s="38" t="s">
        <v>55</v>
      </c>
      <c r="BB6" s="38"/>
      <c r="BC6" s="38"/>
      <c r="BD6" s="38"/>
      <c r="BE6" s="20"/>
      <c r="BF6" s="20"/>
      <c r="BG6" s="38" t="s">
        <v>73</v>
      </c>
      <c r="BH6" s="38"/>
      <c r="BI6" s="38"/>
      <c r="BJ6" s="38"/>
      <c r="BK6" s="38"/>
      <c r="BL6" s="38"/>
      <c r="BM6" s="38"/>
      <c r="BN6" s="38"/>
    </row>
    <row r="7" spans="1:71" ht="16.5" customHeight="1" thickTop="1" thickBot="1" x14ac:dyDescent="0.3">
      <c r="A7" t="s">
        <v>0</v>
      </c>
      <c r="B7" t="s">
        <v>5</v>
      </c>
      <c r="C7" t="s">
        <v>6</v>
      </c>
      <c r="D7" t="s">
        <v>3</v>
      </c>
      <c r="E7" t="s">
        <v>4</v>
      </c>
      <c r="F7" s="6"/>
      <c r="G7" s="4" t="s">
        <v>7</v>
      </c>
      <c r="H7" s="31" t="s">
        <v>8</v>
      </c>
      <c r="I7" s="11"/>
      <c r="J7" s="4" t="s">
        <v>9</v>
      </c>
      <c r="L7" s="3">
        <f>LOG10(2)/E$3</f>
        <v>7.52574989159953E-2</v>
      </c>
      <c r="M7" s="4">
        <f>AP2/10</f>
        <v>1</v>
      </c>
      <c r="N7" s="7">
        <f>AQ2/10</f>
        <v>3.7969999999999997</v>
      </c>
      <c r="O7">
        <v>0</v>
      </c>
      <c r="P7" s="5">
        <v>40</v>
      </c>
      <c r="X7" t="s">
        <v>20</v>
      </c>
      <c r="Y7" s="25" t="s">
        <v>21</v>
      </c>
      <c r="Z7" t="s">
        <v>22</v>
      </c>
      <c r="AA7" s="12"/>
      <c r="AB7" s="34" t="s">
        <v>20</v>
      </c>
      <c r="AC7" s="25" t="s">
        <v>24</v>
      </c>
      <c r="AD7" s="25" t="s">
        <v>23</v>
      </c>
      <c r="AE7" s="25" t="s">
        <v>44</v>
      </c>
      <c r="AF7" s="25" t="s">
        <v>45</v>
      </c>
      <c r="AG7" s="25" t="s">
        <v>68</v>
      </c>
      <c r="AH7" s="25" t="s">
        <v>66</v>
      </c>
      <c r="AI7" s="25" t="s">
        <v>65</v>
      </c>
      <c r="AK7" s="25" t="s">
        <v>57</v>
      </c>
      <c r="AL7" s="25" t="s">
        <v>58</v>
      </c>
      <c r="AM7" s="25" t="s">
        <v>87</v>
      </c>
      <c r="AP7" s="17" t="s">
        <v>51</v>
      </c>
      <c r="AQ7" s="18" t="s">
        <v>56</v>
      </c>
      <c r="AR7" s="18" t="s">
        <v>52</v>
      </c>
      <c r="AS7" s="18" t="s">
        <v>61</v>
      </c>
      <c r="AT7" s="18" t="s">
        <v>59</v>
      </c>
      <c r="AU7" s="21" t="s">
        <v>71</v>
      </c>
      <c r="AV7" s="18" t="s">
        <v>74</v>
      </c>
      <c r="AW7" s="21" t="s">
        <v>75</v>
      </c>
      <c r="AX7" s="21" t="s">
        <v>74</v>
      </c>
      <c r="AZ7" s="18" t="s">
        <v>63</v>
      </c>
      <c r="BA7" s="21" t="s">
        <v>86</v>
      </c>
      <c r="BB7" s="24" t="s">
        <v>64</v>
      </c>
      <c r="BC7" s="21" t="s">
        <v>71</v>
      </c>
      <c r="BD7" s="21" t="s">
        <v>56</v>
      </c>
      <c r="BE7" s="21" t="s">
        <v>75</v>
      </c>
      <c r="BF7" s="21" t="s">
        <v>56</v>
      </c>
      <c r="BG7" s="24" t="s">
        <v>54</v>
      </c>
      <c r="BH7" s="18" t="s">
        <v>60</v>
      </c>
      <c r="BI7" s="22" t="s">
        <v>76</v>
      </c>
      <c r="BJ7" s="24" t="s">
        <v>77</v>
      </c>
      <c r="BK7" s="22" t="s">
        <v>78</v>
      </c>
      <c r="BL7" s="22" t="s">
        <v>80</v>
      </c>
      <c r="BM7" s="18" t="s">
        <v>85</v>
      </c>
      <c r="BN7" s="18"/>
      <c r="BO7" s="22" t="s">
        <v>83</v>
      </c>
      <c r="BP7" s="22" t="s">
        <v>84</v>
      </c>
    </row>
    <row r="8" spans="1:71" ht="15.75" customHeight="1" thickTop="1" thickBot="1" x14ac:dyDescent="0.3">
      <c r="A8" t="s">
        <v>10</v>
      </c>
      <c r="B8" t="s">
        <v>1</v>
      </c>
      <c r="C8" t="s">
        <v>2</v>
      </c>
      <c r="D8">
        <v>0</v>
      </c>
      <c r="E8">
        <v>0</v>
      </c>
      <c r="F8" s="6"/>
      <c r="G8">
        <v>0</v>
      </c>
      <c r="H8" s="25">
        <f t="shared" ref="H8:H71" si="0">$D$8*(1-G8)^3+3*$D$9*G8*(1-G8)^2+3*$D$10*(G8)^2*(1-G8)+(G8^3*$D$11)</f>
        <v>0</v>
      </c>
      <c r="J8">
        <f>E8*(1-G8)^3+3*$E$9*G8*(1-G8)^2+3*E10*(G8)^2*(1-G8)+(G8^3*E11)*0.1</f>
        <v>0</v>
      </c>
      <c r="X8" s="1">
        <v>0</v>
      </c>
      <c r="Y8" s="29" cm="1">
        <f t="array" ref="Y8">INDEX(J$8:J$1504,Z8) +(X8-INDEX(H$8:H$1504,Z8))*(INDEX(J$8:J$1504,Z8+1)-INDEX(J$8:J$1504,Z8))/(INDEX(H$8:H$1504,Z8+1)-INDEX(H$8:H$1504,Z8))</f>
        <v>0</v>
      </c>
      <c r="Z8" s="1">
        <f>MATCH(X8,H$8:H$1504,1)</f>
        <v>1</v>
      </c>
      <c r="AA8" s="13"/>
      <c r="AB8" s="32">
        <v>0</v>
      </c>
      <c r="AC8" s="25">
        <f t="shared" ref="AC8:AC39" si="1">10^(Y8)</f>
        <v>1</v>
      </c>
      <c r="AG8" s="27"/>
      <c r="AH8" s="27"/>
      <c r="AI8" s="27"/>
      <c r="AJ8" s="9"/>
      <c r="AK8" s="27"/>
      <c r="AL8" s="27"/>
      <c r="AP8" s="25">
        <f ca="1">MAX(AF8:AF108)</f>
        <v>1879.205331658263</v>
      </c>
      <c r="AQ8">
        <f ca="1">INDEX(AB$8:AB$108,MATCH(AP8,AF$8:AF$108,0))</f>
        <v>48</v>
      </c>
      <c r="AR8">
        <f ca="1">SUM(AF8:AF108)</f>
        <v>42144.550121952241</v>
      </c>
      <c r="AS8">
        <f ca="1">MAX(AF8:AF108)-MIN( INDIRECT("AF" &amp; AQ$9):AF108)</f>
        <v>1849.8548094672094</v>
      </c>
      <c r="AT8" s="25">
        <f ca="1">SUM(AF8:AF58)</f>
        <v>21335.55351924921</v>
      </c>
      <c r="AU8">
        <f ca="1">LARGE(( INDIRECT("AL" &amp; AQ$9+1):AL$108),1)</f>
        <v>1202.9965254892675</v>
      </c>
      <c r="AV8">
        <f ca="1">INDEX(INDIRECT("AB" &amp; AQ$9+1):AB$108,MATCH(AU8,INDIRECT("AL" &amp; AQ$9+1):AL$108,0))</f>
        <v>51</v>
      </c>
      <c r="AW8">
        <f ca="1">LARGE(( INDIRECT("AL" &amp; AQ$9+1):AL$108),3)</f>
        <v>608.43929359434355</v>
      </c>
      <c r="AX8">
        <f ca="1">INDEX(INDIRECT("AB" &amp; AQ$9+1):AB$108,MATCH(AW8,INDIRECT("AL" &amp; AQ$9+1):AL$108,0))</f>
        <v>50</v>
      </c>
      <c r="AZ8">
        <f ca="1">MAX(AD8:AD108)</f>
        <v>303.2083548878814</v>
      </c>
      <c r="BA8">
        <f ca="1">INDEX(AB$8:AB$108,MATCH(AZ8,AD$8:AD$108,0))</f>
        <v>49</v>
      </c>
      <c r="BB8">
        <f ca="1">AZ8-MIN( INDIRECT("AD" &amp; BA$9):AD108)</f>
        <v>297.69791694061206</v>
      </c>
      <c r="BC8">
        <f ca="1">LARGE(( INDIRECT("AI" &amp; BA$9+1):AI$108),1)</f>
        <v>201.19369407027355</v>
      </c>
      <c r="BD8">
        <f ca="1">INDEX(INDIRECT("AB" &amp; BA$9+1):AB$108,MATCH(BC8,INDIRECT("AI" &amp; BA$9+1):AI$108,0))</f>
        <v>51</v>
      </c>
      <c r="BE8">
        <f ca="1">LARGE(( INDIRECT("AI" &amp; BA$9+1):AI$108),3)</f>
        <v>96.504222870338509</v>
      </c>
      <c r="BF8">
        <f ca="1">INDEX(INDIRECT("AB" &amp; BA$9+1):AB$108,MATCH(BE8,INDIRECT("AI" &amp; BA$9+1):AI$108,0))</f>
        <v>50</v>
      </c>
      <c r="BG8" s="9">
        <f>INDEX(AB$8:AB$108,MATCH(0.5*B3,AC$8:AC$108,1))+1</f>
        <v>45</v>
      </c>
      <c r="BH8">
        <f>INDEX(AB$8:AB$108,MATCH(0.7*B3,AC$8:AC$108,1))+1</f>
        <v>47</v>
      </c>
      <c r="BI8" s="25">
        <f ca="1">1+SUM(AD8:AD108)</f>
        <v>6789.0009534655837</v>
      </c>
      <c r="BJ8" s="25">
        <f ca="1">1+SUM(AD8:AD58)</f>
        <v>3029.2057006182072</v>
      </c>
      <c r="BK8">
        <f ca="1" xml:space="preserve"> 1+SUM(AD8:INDIRECT("AD" &amp; MATCH(BG8,AB$1:AB$108,0)))-BK12</f>
        <v>1512.0093920244512</v>
      </c>
      <c r="BL8">
        <f ca="1" xml:space="preserve"> 1+SUM(AD8:INDIRECT("AD" &amp; MATCH(BH8,AB$1:AB$108,0)))-BL12</f>
        <v>2117.2373661081929</v>
      </c>
      <c r="BM8">
        <f ca="1" xml:space="preserve"> 1+SUM(AD8:INDIRECT("AD" &amp; MATCH(BG8,AB$1:AB$108,0)))</f>
        <v>1678.6145217536682</v>
      </c>
      <c r="BN8">
        <f ca="1" xml:space="preserve"> 1+SUM(AD8:INDIRECT("AD" &amp; MATCH(BH8,AB$1:AB$108,0)))</f>
        <v>2216.2608846449953</v>
      </c>
      <c r="BO8">
        <f ca="1">SUM(AF8:INDIRECT("AF" &amp; MATCH(BG8,AB$1:AB$108,0)))-BO12</f>
        <v>11835.825064989924</v>
      </c>
      <c r="BP8">
        <f ca="1">SUM(AF8:INDIRECT("AF" &amp; MATCH(BH8,AB$1:AB$108,0)))-BP12</f>
        <v>15749.813826032234</v>
      </c>
      <c r="BS8" cm="1">
        <f t="array" aca="1" ref="BS8" ca="1">(0.7*B3-(INDIRECT("AC" &amp; MATCH(BH8,AB$1:AB$108,0)-1)))/INDIRECT("AD" &amp; MATCH(BH8,AB$1:AB$108,0))</f>
        <v>0.63918051678429832</v>
      </c>
    </row>
    <row r="9" spans="1:71" ht="17.25" thickTop="1" thickBot="1" x14ac:dyDescent="0.3">
      <c r="A9" t="s">
        <v>11</v>
      </c>
      <c r="B9" t="s">
        <v>13</v>
      </c>
      <c r="C9" t="s">
        <v>15</v>
      </c>
      <c r="D9">
        <f>M7/SQRT((1+(L7^2)))</f>
        <v>0.99718012695849811</v>
      </c>
      <c r="E9">
        <f>L7*D9</f>
        <v>7.5045282323631224E-2</v>
      </c>
      <c r="F9" s="6"/>
      <c r="G9">
        <f>G8+0.001</f>
        <v>1E-3</v>
      </c>
      <c r="H9" s="25">
        <f t="shared" si="0"/>
        <v>3.1240806826541246E-3</v>
      </c>
      <c r="J9">
        <f t="shared" ref="J9:J72" si="2">$E$8*(1-G9)^3+3*$E$9*G9*(1-G9)^2+3*$E$10*(G9)^2*(1-G9)+(G9^3*$E$11)</f>
        <v>2.351102099344484E-4</v>
      </c>
      <c r="X9" s="1">
        <f>X8+1</f>
        <v>1</v>
      </c>
      <c r="Y9" s="29" cm="1">
        <f t="array" ref="Y9">INDEX(J$8:J$1504,Z9) +(X9-INDEX(H$8:H$1504,Z9))*(INDEX(J$8:J$1504,Z9+1)-INDEX(J$8:J$1504,Z9))/(INDEX(H$8:H$1504,Z9+1)-INDEX(H$8:H$1504,Z9))</f>
        <v>7.5121784085380158E-2</v>
      </c>
      <c r="Z9" s="1">
        <f t="shared" ref="Z9:Z40" si="3">MATCH(X9,H$8:H$1125,1)</f>
        <v>79</v>
      </c>
      <c r="AA9" s="13"/>
      <c r="AB9" s="32">
        <f>AB8+1</f>
        <v>1</v>
      </c>
      <c r="AC9" s="25">
        <f t="shared" si="1"/>
        <v>1.1888355518485145</v>
      </c>
      <c r="AD9" s="25">
        <f t="shared" ref="AD9:AD40" ca="1" si="4">IF(AB9&gt;=A$3, AC9-AC8+OFFSET(AD9,-(A$3),0), AC9-AC8)</f>
        <v>0.18883555184851453</v>
      </c>
      <c r="AE9" s="25">
        <f>D$3*(AG9)^(-G$3)</f>
        <v>20</v>
      </c>
      <c r="AF9" s="25">
        <f ca="1">AD9*AE9</f>
        <v>3.7767110369702905</v>
      </c>
      <c r="AG9" s="25">
        <f>1+SUM(AD$8:AD8)</f>
        <v>1</v>
      </c>
      <c r="AM9">
        <f ca="1">AF9/AD9</f>
        <v>20</v>
      </c>
      <c r="AP9" t="s">
        <v>70</v>
      </c>
      <c r="AQ9">
        <f ca="1">MATCH(AP8,AF$1:AF$108,0)</f>
        <v>56</v>
      </c>
      <c r="AZ9" t="s">
        <v>70</v>
      </c>
      <c r="BA9">
        <f ca="1">MATCH(AZ8,AD$1:AD$108,0)</f>
        <v>57</v>
      </c>
    </row>
    <row r="10" spans="1:71" ht="17.25" thickTop="1" thickBot="1" x14ac:dyDescent="0.3">
      <c r="A10" t="s">
        <v>12</v>
      </c>
      <c r="B10" t="s">
        <v>14</v>
      </c>
      <c r="C10" t="s">
        <v>16</v>
      </c>
      <c r="D10">
        <f>D11- N7/SQRT((1+O7^2))</f>
        <v>46.203000000000003</v>
      </c>
      <c r="E10">
        <f>(C3-D10)*O7+LOG10(B3)</f>
        <v>3.4771212547196626</v>
      </c>
      <c r="F10" s="6"/>
      <c r="G10">
        <f>G9+0.001</f>
        <v>2E-3</v>
      </c>
      <c r="H10" s="25">
        <f t="shared" si="0"/>
        <v>6.5128994990270314E-3</v>
      </c>
      <c r="J10">
        <f t="shared" si="2"/>
        <v>4.9014222936935635E-4</v>
      </c>
      <c r="X10" s="1">
        <f>X9+1</f>
        <v>2</v>
      </c>
      <c r="Y10" s="29" cm="1">
        <f t="array" ref="Y10">INDEX(J$8:J$1504,Z10) +(X10-INDEX(H$8:H$1504,Z10))*(INDEX(J$8:J$1504,Z10+1)-INDEX(J$8:J$1504,Z10))/(INDEX(H$8:H$1504,Z10+1)-INDEX(H$8:H$1504,Z10))</f>
        <v>0.15006816355113517</v>
      </c>
      <c r="Z10" s="1">
        <f t="shared" si="3"/>
        <v>117</v>
      </c>
      <c r="AA10" s="13"/>
      <c r="AB10" s="32">
        <f>AB9+1</f>
        <v>2</v>
      </c>
      <c r="AC10" s="25">
        <f t="shared" si="1"/>
        <v>1.4127592631467718</v>
      </c>
      <c r="AD10" s="25">
        <f t="shared" ca="1" si="4"/>
        <v>0.22392371129825728</v>
      </c>
      <c r="AE10" s="25">
        <f t="shared" ref="AE10:AE73" ca="1" si="5">D$3*(AG10)^(-G$3)</f>
        <v>19.481000257907517</v>
      </c>
      <c r="AF10" s="25">
        <f t="shared" ref="AF10:AF73" ca="1" si="6">AD10*AE10</f>
        <v>4.3622578775529588</v>
      </c>
      <c r="AG10" s="25">
        <f ca="1">1+SUM(AD$8:AD9)</f>
        <v>1.1888355518485145</v>
      </c>
      <c r="AH10" s="25">
        <f ca="1">AD10-AD9</f>
        <v>3.5088159449742751E-2</v>
      </c>
      <c r="AI10" s="25">
        <f ca="1">ABS(AH10)</f>
        <v>3.5088159449742751E-2</v>
      </c>
      <c r="AK10" s="25">
        <f t="shared" ref="AK10:AK41" ca="1" si="7">(AF10-AF9)</f>
        <v>0.58554684058266826</v>
      </c>
      <c r="AL10" s="25">
        <f ca="1">ABS(AK10)</f>
        <v>0.58554684058266826</v>
      </c>
      <c r="AM10">
        <f t="shared" ref="AM10:AM73" ca="1" si="8">AF10/AD10</f>
        <v>19.481000257907517</v>
      </c>
    </row>
    <row r="11" spans="1:71" ht="17.25" thickTop="1" thickBot="1" x14ac:dyDescent="0.3">
      <c r="A11" t="s">
        <v>17</v>
      </c>
      <c r="B11" t="s">
        <v>18</v>
      </c>
      <c r="C11" t="s">
        <v>19</v>
      </c>
      <c r="D11">
        <f>C3</f>
        <v>50</v>
      </c>
      <c r="E11">
        <f>LOG10(B$3)</f>
        <v>3.4771212547196626</v>
      </c>
      <c r="F11" s="6"/>
      <c r="G11">
        <f t="shared" ref="G11:G73" si="9">G10+0.001</f>
        <v>3.0000000000000001E-3</v>
      </c>
      <c r="H11" s="25">
        <f t="shared" si="0"/>
        <v>1.0165942744361011E-2</v>
      </c>
      <c r="J11">
        <f t="shared" si="2"/>
        <v>7.6505568366474911E-4</v>
      </c>
      <c r="X11" s="1">
        <f t="shared" ref="X11:X73" si="10">X10+1</f>
        <v>3</v>
      </c>
      <c r="Y11" s="29" cm="1">
        <f t="array" ref="Y11">INDEX(J$8:J$1504,Z11) +(X11-INDEX(H$8:H$1504,Z11))*(INDEX(J$8:J$1504,Z11+1)-INDEX(J$8:J$1504,Z11))/(INDEX(H$8:H$1504,Z11+1)-INDEX(H$8:H$1504,Z11))</f>
        <v>0.22488180575944197</v>
      </c>
      <c r="Z11" s="1">
        <f t="shared" si="3"/>
        <v>147</v>
      </c>
      <c r="AA11" s="13"/>
      <c r="AB11" s="32">
        <f t="shared" ref="AB11:AB73" si="11">AB10+1</f>
        <v>3</v>
      </c>
      <c r="AC11" s="25">
        <f t="shared" si="1"/>
        <v>1.678347189920087</v>
      </c>
      <c r="AD11" s="25">
        <f t="shared" ca="1" si="4"/>
        <v>0.26558792677331522</v>
      </c>
      <c r="AE11" s="25">
        <f t="shared" ca="1" si="5"/>
        <v>18.976633523074177</v>
      </c>
      <c r="AF11" s="25">
        <f t="shared" ca="1" si="6"/>
        <v>5.0399647545302635</v>
      </c>
      <c r="AG11" s="25">
        <f ca="1">1+SUM(AD$8:AD10)</f>
        <v>1.4127592631467718</v>
      </c>
      <c r="AH11" s="25">
        <f t="shared" ref="AH11:AH74" ca="1" si="12">AD11-AD10</f>
        <v>4.1664215475057942E-2</v>
      </c>
      <c r="AI11" s="25">
        <f t="shared" ref="AI11:AI74" ca="1" si="13">ABS(AH11)</f>
        <v>4.1664215475057942E-2</v>
      </c>
      <c r="AK11" s="25">
        <f t="shared" ca="1" si="7"/>
        <v>0.6777068769773047</v>
      </c>
      <c r="AL11" s="25">
        <f t="shared" ref="AL11:AL74" ca="1" si="14">ABS(AK11)</f>
        <v>0.6777068769773047</v>
      </c>
      <c r="AM11">
        <f t="shared" ca="1" si="8"/>
        <v>18.976633523074177</v>
      </c>
      <c r="BK11" t="s">
        <v>79</v>
      </c>
      <c r="BO11" s="25"/>
    </row>
    <row r="12" spans="1:71" ht="17.25" thickTop="1" thickBot="1" x14ac:dyDescent="0.3">
      <c r="A12" s="38" t="s">
        <v>33</v>
      </c>
      <c r="B12" s="38"/>
      <c r="C12" s="38"/>
      <c r="D12" s="38"/>
      <c r="E12" s="40"/>
      <c r="F12" s="6"/>
      <c r="G12">
        <f t="shared" si="9"/>
        <v>4.0000000000000001E-3</v>
      </c>
      <c r="H12" s="25">
        <f t="shared" si="0"/>
        <v>1.4082696713898338E-2</v>
      </c>
      <c r="J12">
        <f t="shared" si="2"/>
        <v>1.059810198180652E-3</v>
      </c>
      <c r="X12" s="1">
        <f t="shared" si="10"/>
        <v>4</v>
      </c>
      <c r="Y12" s="29" cm="1">
        <f t="array" ref="Y12">INDEX(J$8:J$1504,Z12) +(X12-INDEX(H$8:H$1504,Z12))*(INDEX(J$8:J$1504,Z12+1)-INDEX(J$8:J$1504,Z12))/(INDEX(H$8:H$1504,Z12+1)-INDEX(H$8:H$1504,Z12))</f>
        <v>0.29957741589113585</v>
      </c>
      <c r="Z12" s="1">
        <f t="shared" si="3"/>
        <v>172</v>
      </c>
      <c r="AA12" s="13"/>
      <c r="AB12" s="32">
        <f t="shared" si="11"/>
        <v>4</v>
      </c>
      <c r="AC12" s="25">
        <f t="shared" si="1"/>
        <v>1.9933217974168389</v>
      </c>
      <c r="AD12" s="25">
        <f t="shared" ca="1" si="4"/>
        <v>0.31497460749675188</v>
      </c>
      <c r="AE12" s="25">
        <f t="shared" ca="1" si="5"/>
        <v>18.486183749254739</v>
      </c>
      <c r="AF12" s="25">
        <f t="shared" ca="1" si="6"/>
        <v>5.8226784705343446</v>
      </c>
      <c r="AG12" s="25">
        <f ca="1">1+SUM(AD$8:AD11)</f>
        <v>1.678347189920087</v>
      </c>
      <c r="AH12" s="25">
        <f t="shared" ca="1" si="12"/>
        <v>4.938668072343666E-2</v>
      </c>
      <c r="AI12" s="25">
        <f t="shared" ca="1" si="13"/>
        <v>4.938668072343666E-2</v>
      </c>
      <c r="AK12" s="25">
        <f t="shared" ca="1" si="7"/>
        <v>0.78271371600408113</v>
      </c>
      <c r="AL12" s="25">
        <f t="shared" ca="1" si="14"/>
        <v>0.78271371600408113</v>
      </c>
      <c r="AM12">
        <f t="shared" ca="1" si="8"/>
        <v>18.486183749254739</v>
      </c>
      <c r="AP12" t="s">
        <v>62</v>
      </c>
      <c r="AR12">
        <f ca="1">MATCH(AV8,AB$1:AB$108,0)</f>
        <v>59</v>
      </c>
      <c r="AZ12" t="s">
        <v>62</v>
      </c>
      <c r="BB12">
        <f ca="1">MATCH(BD8,AB$1:AB$108,0)</f>
        <v>59</v>
      </c>
      <c r="BK12" cm="1">
        <f t="array" aca="1" ref="BK12" ca="1">INDIRECT("AC" &amp; MATCH(BG8,AB$1:AB$108,0))-0.5*B3</f>
        <v>166.60512972921697</v>
      </c>
      <c r="BL12" cm="1">
        <f t="array" aca="1" ref="BL12" ca="1">INDIRECT("AC" &amp; MATCH(BH8,AB$1:AB$108,0))-0.7*B3</f>
        <v>99.023518536802385</v>
      </c>
      <c r="BO12" cm="1">
        <f t="array" aca="1" ref="BO12" ca="1">BK12*INDIRECT("AE" &amp; MATCH(BG8,AB$1:AB$108,0))</f>
        <v>1101.8461228047329</v>
      </c>
      <c r="BP12" cm="1">
        <f t="array" aca="1" ref="BP12" ca="1">BL12*INDIRECT("AE" &amp; MATCH(BH8,AB$1:AB$108,0))</f>
        <v>626.92816861605047</v>
      </c>
    </row>
    <row r="13" spans="1:71" ht="17.25" thickTop="1" thickBot="1" x14ac:dyDescent="0.3">
      <c r="D13">
        <v>0</v>
      </c>
      <c r="E13">
        <v>0</v>
      </c>
      <c r="F13" s="6"/>
      <c r="G13">
        <f t="shared" si="9"/>
        <v>5.0000000000000001E-3</v>
      </c>
      <c r="H13" s="25">
        <f t="shared" si="0"/>
        <v>1.8262647702881309E-2</v>
      </c>
      <c r="J13">
        <f t="shared" si="2"/>
        <v>1.3743653982770899E-3</v>
      </c>
      <c r="X13" s="1">
        <f t="shared" si="10"/>
        <v>5</v>
      </c>
      <c r="Y13" s="29" cm="1">
        <f t="array" ref="Y13">INDEX(J$8:J$1504,Z13) +(X13-INDEX(H$8:H$1504,Z13))*(INDEX(J$8:J$1504,Z13+1)-INDEX(J$8:J$1504,Z13))/(INDEX(H$8:H$1504,Z13+1)-INDEX(H$8:H$1504,Z13))</f>
        <v>0.37416247178044176</v>
      </c>
      <c r="Z13" s="1">
        <f t="shared" si="3"/>
        <v>196</v>
      </c>
      <c r="AA13" s="13"/>
      <c r="AB13" s="32">
        <f t="shared" si="11"/>
        <v>5</v>
      </c>
      <c r="AC13" s="25">
        <f t="shared" si="1"/>
        <v>2.3668049656913652</v>
      </c>
      <c r="AD13" s="25">
        <f t="shared" ca="1" si="4"/>
        <v>0.37348316827452632</v>
      </c>
      <c r="AE13" s="25">
        <f t="shared" ca="1" si="5"/>
        <v>18.009153580717527</v>
      </c>
      <c r="AF13" s="25">
        <f t="shared" ca="1" si="6"/>
        <v>6.7261157372689127</v>
      </c>
      <c r="AG13" s="25">
        <f ca="1">1+SUM(AD$8:AD12)</f>
        <v>1.9933217974168389</v>
      </c>
      <c r="AH13" s="25">
        <f t="shared" ca="1" si="12"/>
        <v>5.8508560777774443E-2</v>
      </c>
      <c r="AI13" s="25">
        <f t="shared" ca="1" si="13"/>
        <v>5.8508560777774443E-2</v>
      </c>
      <c r="AK13" s="25">
        <f t="shared" ca="1" si="7"/>
        <v>0.90343726673456803</v>
      </c>
      <c r="AL13" s="25">
        <f t="shared" ca="1" si="14"/>
        <v>0.90343726673456803</v>
      </c>
      <c r="AM13">
        <f t="shared" ca="1" si="8"/>
        <v>18.009153580717527</v>
      </c>
      <c r="AP13">
        <f ca="1">LARGE(( INDIRECT("AL" &amp; AQ$9+1):AL$108),2)</f>
        <v>1077.4826946330877</v>
      </c>
      <c r="AQ13">
        <f ca="1">INDEX(INDIRECT("AB" &amp; AQ$9):AB$108,MATCH(AP13,INDIRECT("AL" &amp; AQ$9):AL$108,0))</f>
        <v>81</v>
      </c>
      <c r="AR13">
        <f ca="1">MATCH(AQ13,AB$1:AB$108,0)</f>
        <v>89</v>
      </c>
      <c r="AZ13">
        <f ca="1">LARGE(( INDIRECT("AI" &amp; BA$9):AI$108),2)</f>
        <v>201.19369407027355</v>
      </c>
      <c r="BA13">
        <f ca="1">INDEX(INDIRECT("AB" &amp; BA$9):AB$108,MATCH(AZ13,INDIRECT("AI" &amp; BA$9):AI$108,0))</f>
        <v>51</v>
      </c>
      <c r="BB13">
        <f ca="1">MATCH(BA13,AB$1:AB$108,0)</f>
        <v>59</v>
      </c>
      <c r="BK13" s="25"/>
      <c r="BL13" s="25"/>
    </row>
    <row r="14" spans="1:71" ht="17.25" thickTop="1" thickBot="1" x14ac:dyDescent="0.3">
      <c r="D14">
        <f>D9</f>
        <v>0.99718012695849811</v>
      </c>
      <c r="E14">
        <f>10^E9</f>
        <v>1.1886261547502852</v>
      </c>
      <c r="F14" s="6"/>
      <c r="G14">
        <f t="shared" si="9"/>
        <v>6.0000000000000001E-3</v>
      </c>
      <c r="H14" s="25">
        <f t="shared" si="0"/>
        <v>2.2705282006552203E-2</v>
      </c>
      <c r="J14">
        <f t="shared" si="2"/>
        <v>1.7086809093140882E-3</v>
      </c>
      <c r="X14" s="1">
        <f t="shared" si="10"/>
        <v>6</v>
      </c>
      <c r="Y14" s="29" cm="1">
        <f t="array" ref="Y14">INDEX(J$8:J$1504,Z14) +(X14-INDEX(H$8:H$1504,Z14))*(INDEX(J$8:J$1504,Z14+1)-INDEX(J$8:J$1504,Z14))/(INDEX(H$8:H$1504,Z14+1)-INDEX(H$8:H$1504,Z14))</f>
        <v>0.44864117878629567</v>
      </c>
      <c r="Z14" s="1">
        <f t="shared" si="3"/>
        <v>217</v>
      </c>
      <c r="AA14" s="13"/>
      <c r="AB14" s="32">
        <f t="shared" si="11"/>
        <v>6</v>
      </c>
      <c r="AC14" s="25">
        <f t="shared" si="1"/>
        <v>2.8095785513649156</v>
      </c>
      <c r="AD14" s="25">
        <f t="shared" ca="1" si="4"/>
        <v>0.44277358567355041</v>
      </c>
      <c r="AE14" s="25">
        <f t="shared" ca="1" si="5"/>
        <v>17.545111903202198</v>
      </c>
      <c r="AF14" s="25">
        <f t="shared" ca="1" si="6"/>
        <v>7.7685121084245274</v>
      </c>
      <c r="AG14" s="25">
        <f ca="1">1+SUM(AD$8:AD13)</f>
        <v>2.3668049656913652</v>
      </c>
      <c r="AH14" s="25">
        <f t="shared" ca="1" si="12"/>
        <v>6.9290417399024085E-2</v>
      </c>
      <c r="AI14" s="25">
        <f t="shared" ca="1" si="13"/>
        <v>6.9290417399024085E-2</v>
      </c>
      <c r="AK14" s="25">
        <f t="shared" ca="1" si="7"/>
        <v>1.0423963711556148</v>
      </c>
      <c r="AL14" s="25">
        <f t="shared" ca="1" si="14"/>
        <v>1.0423963711556148</v>
      </c>
      <c r="AM14">
        <f t="shared" ca="1" si="8"/>
        <v>17.545111903202198</v>
      </c>
    </row>
    <row r="15" spans="1:71" ht="17.25" thickTop="1" thickBot="1" x14ac:dyDescent="0.3">
      <c r="D15">
        <f>D10</f>
        <v>46.203000000000003</v>
      </c>
      <c r="E15">
        <f t="shared" ref="E15:E16" si="15">10^(E10)</f>
        <v>3000.0000000000027</v>
      </c>
      <c r="F15" s="6"/>
      <c r="G15">
        <f t="shared" si="9"/>
        <v>7.0000000000000001E-3</v>
      </c>
      <c r="H15" s="25">
        <f t="shared" si="0"/>
        <v>2.7410085920153301E-2</v>
      </c>
      <c r="J15">
        <f t="shared" si="2"/>
        <v>2.0627163566516722E-3</v>
      </c>
      <c r="X15" s="1">
        <f t="shared" si="10"/>
        <v>7</v>
      </c>
      <c r="Y15" s="29" cm="1">
        <f t="array" ref="Y15">INDEX(J$8:J$1504,Z15) +(X15-INDEX(H$8:H$1504,Z15))*(INDEX(J$8:J$1504,Z15+1)-INDEX(J$8:J$1504,Z15))/(INDEX(H$8:H$1504,Z15+1)-INDEX(H$8:H$1504,Z15))</f>
        <v>0.52301587399255722</v>
      </c>
      <c r="Z15" s="1">
        <f t="shared" si="3"/>
        <v>237</v>
      </c>
      <c r="AA15" s="13"/>
      <c r="AB15" s="32">
        <f t="shared" si="11"/>
        <v>7</v>
      </c>
      <c r="AC15" s="25">
        <f t="shared" si="1"/>
        <v>3.3343860012767461</v>
      </c>
      <c r="AD15" s="25">
        <f t="shared" ca="1" si="4"/>
        <v>0.52480744991183048</v>
      </c>
      <c r="AE15" s="25">
        <f t="shared" ca="1" si="5"/>
        <v>17.09366343335067</v>
      </c>
      <c r="AF15" s="25">
        <f t="shared" ca="1" si="6"/>
        <v>8.9708819161078708</v>
      </c>
      <c r="AG15" s="25">
        <f ca="1">1+SUM(AD$8:AD14)</f>
        <v>2.8095785513649156</v>
      </c>
      <c r="AH15" s="25">
        <f t="shared" ca="1" si="12"/>
        <v>8.2033864238280074E-2</v>
      </c>
      <c r="AI15" s="25">
        <f t="shared" ca="1" si="13"/>
        <v>8.2033864238280074E-2</v>
      </c>
      <c r="AK15" s="25">
        <f t="shared" ca="1" si="7"/>
        <v>1.2023698076833433</v>
      </c>
      <c r="AL15" s="25">
        <f t="shared" ca="1" si="14"/>
        <v>1.2023698076833433</v>
      </c>
      <c r="AM15">
        <f t="shared" ca="1" si="8"/>
        <v>17.09366343335067</v>
      </c>
    </row>
    <row r="16" spans="1:71" ht="17.25" thickTop="1" thickBot="1" x14ac:dyDescent="0.3">
      <c r="D16">
        <f>C3</f>
        <v>50</v>
      </c>
      <c r="E16">
        <f t="shared" si="15"/>
        <v>3000.0000000000027</v>
      </c>
      <c r="F16" s="6"/>
      <c r="G16">
        <f t="shared" si="9"/>
        <v>8.0000000000000002E-3</v>
      </c>
      <c r="H16" s="25">
        <f t="shared" si="0"/>
        <v>3.2376545738926898E-2</v>
      </c>
      <c r="J16">
        <f t="shared" si="2"/>
        <v>2.436431365649866E-3</v>
      </c>
      <c r="X16" s="1">
        <f t="shared" si="10"/>
        <v>8</v>
      </c>
      <c r="Y16" s="29" cm="1">
        <f t="array" ref="Y16">INDEX(J$8:J$1504,Z16) +(X16-INDEX(H$8:H$1504,Z16))*(INDEX(J$8:J$1504,Z16+1)-INDEX(J$8:J$1504,Z16))/(INDEX(H$8:H$1504,Z16+1)-INDEX(H$8:H$1504,Z16))</f>
        <v>0.59728765413848506</v>
      </c>
      <c r="Z16" s="1">
        <f t="shared" si="3"/>
        <v>256</v>
      </c>
      <c r="AA16" s="13"/>
      <c r="AB16" s="32">
        <f t="shared" si="11"/>
        <v>8</v>
      </c>
      <c r="AC16" s="25">
        <f t="shared" si="1"/>
        <v>3.9562857715389068</v>
      </c>
      <c r="AD16" s="25">
        <f t="shared" ca="1" si="4"/>
        <v>0.6218997702621607</v>
      </c>
      <c r="AE16" s="25">
        <f t="shared" ca="1" si="5"/>
        <v>16.654437339815694</v>
      </c>
      <c r="AF16" s="25">
        <f t="shared" ca="1" si="6"/>
        <v>10.357390755476931</v>
      </c>
      <c r="AG16" s="25">
        <f ca="1">1+SUM(AD$8:AD15)</f>
        <v>3.3343860012767461</v>
      </c>
      <c r="AH16" s="25">
        <f t="shared" ca="1" si="12"/>
        <v>9.7092320350330219E-2</v>
      </c>
      <c r="AI16" s="25">
        <f t="shared" ca="1" si="13"/>
        <v>9.7092320350330219E-2</v>
      </c>
      <c r="AK16" s="25">
        <f t="shared" ca="1" si="7"/>
        <v>1.3865088393690606</v>
      </c>
      <c r="AL16" s="25">
        <f t="shared" ca="1" si="14"/>
        <v>1.3865088393690606</v>
      </c>
      <c r="AM16">
        <f t="shared" ca="1" si="8"/>
        <v>16.654437339815694</v>
      </c>
    </row>
    <row r="17" spans="1:39" ht="17.25" thickTop="1" thickBot="1" x14ac:dyDescent="0.3">
      <c r="A17" s="38" t="s">
        <v>48</v>
      </c>
      <c r="B17" s="38"/>
      <c r="C17" s="38"/>
      <c r="D17" s="38"/>
      <c r="E17" s="38"/>
      <c r="F17" s="6"/>
      <c r="G17">
        <f t="shared" si="9"/>
        <v>9.0000000000000011E-3</v>
      </c>
      <c r="H17" s="25">
        <f t="shared" si="0"/>
        <v>3.7604147758115283E-2</v>
      </c>
      <c r="J17">
        <f t="shared" si="2"/>
        <v>2.8297855616686973E-3</v>
      </c>
      <c r="X17" s="1">
        <f t="shared" si="10"/>
        <v>9</v>
      </c>
      <c r="Y17" s="29" cm="1">
        <f t="array" ref="Y17">INDEX(J$8:J$1504,Z17) +(X17-INDEX(H$8:H$1504,Z17))*(INDEX(J$8:J$1504,Z17+1)-INDEX(J$8:J$1504,Z17))/(INDEX(H$8:H$1504,Z17+1)-INDEX(H$8:H$1504,Z17))</f>
        <v>0.67145677161520023</v>
      </c>
      <c r="Z17" s="1">
        <f t="shared" si="3"/>
        <v>274</v>
      </c>
      <c r="AA17" s="13"/>
      <c r="AB17" s="32">
        <f t="shared" si="11"/>
        <v>9</v>
      </c>
      <c r="AC17" s="25">
        <f t="shared" si="1"/>
        <v>4.6930671859325273</v>
      </c>
      <c r="AD17" s="25">
        <f t="shared" ca="1" si="4"/>
        <v>0.73678141439362044</v>
      </c>
      <c r="AE17" s="25">
        <f t="shared" ca="1" si="5"/>
        <v>16.227081767564805</v>
      </c>
      <c r="AF17" s="25">
        <f t="shared" ca="1" si="6"/>
        <v>11.955812256187327</v>
      </c>
      <c r="AG17" s="25">
        <f ca="1">1+SUM(AD$8:AD16)</f>
        <v>3.9562857715389068</v>
      </c>
      <c r="AH17" s="25">
        <f t="shared" ca="1" si="12"/>
        <v>0.11488164413145974</v>
      </c>
      <c r="AI17" s="25">
        <f t="shared" ca="1" si="13"/>
        <v>0.11488164413145974</v>
      </c>
      <c r="AK17" s="25">
        <f t="shared" ca="1" si="7"/>
        <v>1.5984215007103959</v>
      </c>
      <c r="AL17" s="25">
        <f t="shared" ca="1" si="14"/>
        <v>1.5984215007103959</v>
      </c>
      <c r="AM17">
        <f t="shared" ca="1" si="8"/>
        <v>16.227081767564805</v>
      </c>
    </row>
    <row r="18" spans="1:39" ht="17.25" thickTop="1" thickBot="1" x14ac:dyDescent="0.3">
      <c r="D18">
        <v>0</v>
      </c>
      <c r="E18">
        <v>0</v>
      </c>
      <c r="F18" s="6"/>
      <c r="G18">
        <f t="shared" si="9"/>
        <v>1.0000000000000002E-2</v>
      </c>
      <c r="H18" s="25">
        <f t="shared" si="0"/>
        <v>4.3092378272960731E-2</v>
      </c>
      <c r="J18">
        <f t="shared" si="2"/>
        <v>3.2427385700681891E-3</v>
      </c>
      <c r="X18" s="1">
        <f t="shared" si="10"/>
        <v>10</v>
      </c>
      <c r="Y18" s="29" cm="1">
        <f t="array" ref="Y18">INDEX(J$8:J$1504,Z18) +(X18-INDEX(H$8:H$1504,Z18))*(INDEX(J$8:J$1504,Z18+1)-INDEX(J$8:J$1504,Z18))/(INDEX(H$8:H$1504,Z18+1)-INDEX(H$8:H$1504,Z18))</f>
        <v>0.74552280341850352</v>
      </c>
      <c r="Z18" s="1">
        <f t="shared" si="3"/>
        <v>292</v>
      </c>
      <c r="AA18" s="13"/>
      <c r="AB18" s="32">
        <f t="shared" si="11"/>
        <v>10</v>
      </c>
      <c r="AC18" s="25">
        <f t="shared" si="1"/>
        <v>5.5657385740966951</v>
      </c>
      <c r="AD18" s="25">
        <f t="shared" ca="1" si="4"/>
        <v>0.87267138816416789</v>
      </c>
      <c r="AE18" s="25">
        <f t="shared" ca="1" si="5"/>
        <v>15.811260327891619</v>
      </c>
      <c r="AF18" s="25">
        <f t="shared" ca="1" si="6"/>
        <v>13.798034498966215</v>
      </c>
      <c r="AG18" s="25">
        <f ca="1">1+SUM(AD$8:AD17)</f>
        <v>4.6930671859325273</v>
      </c>
      <c r="AH18" s="25">
        <f t="shared" ca="1" si="12"/>
        <v>0.13588997377054746</v>
      </c>
      <c r="AI18" s="25">
        <f t="shared" ca="1" si="13"/>
        <v>0.13588997377054746</v>
      </c>
      <c r="AK18" s="25">
        <f t="shared" ca="1" si="7"/>
        <v>1.8422222427788881</v>
      </c>
      <c r="AL18" s="25">
        <f t="shared" ca="1" si="14"/>
        <v>1.8422222427788881</v>
      </c>
      <c r="AM18">
        <f t="shared" ca="1" si="8"/>
        <v>15.811260327891619</v>
      </c>
    </row>
    <row r="19" spans="1:39" ht="17.25" thickTop="1" thickBot="1" x14ac:dyDescent="0.3">
      <c r="D19">
        <f>D14/E$3</f>
        <v>0.24929503173962453</v>
      </c>
      <c r="E19">
        <f>E9</f>
        <v>7.5045282323631224E-2</v>
      </c>
      <c r="F19" s="6"/>
      <c r="G19">
        <f t="shared" si="9"/>
        <v>1.1000000000000003E-2</v>
      </c>
      <c r="H19" s="25">
        <f t="shared" si="0"/>
        <v>4.884072357870553E-2</v>
      </c>
      <c r="J19">
        <f t="shared" si="2"/>
        <v>3.6752500162083677E-3</v>
      </c>
      <c r="X19" s="1">
        <f t="shared" si="10"/>
        <v>11</v>
      </c>
      <c r="Y19" s="29" cm="1">
        <f t="array" ref="Y19">INDEX(J$8:J$1504,Z19) +(X19-INDEX(H$8:H$1504,Z19))*(INDEX(J$8:J$1504,Z19+1)-INDEX(J$8:J$1504,Z19))/(INDEX(H$8:H$1504,Z19+1)-INDEX(H$8:H$1504,Z19))</f>
        <v>0.81948478071914033</v>
      </c>
      <c r="Z19" s="1">
        <f t="shared" si="3"/>
        <v>308</v>
      </c>
      <c r="AA19" s="13"/>
      <c r="AB19" s="32">
        <f t="shared" si="11"/>
        <v>11</v>
      </c>
      <c r="AC19" s="25">
        <f t="shared" si="1"/>
        <v>6.5991010817360225</v>
      </c>
      <c r="AD19" s="25">
        <f t="shared" ca="1" si="4"/>
        <v>1.0333625076393274</v>
      </c>
      <c r="AE19" s="25">
        <f t="shared" ca="1" si="5"/>
        <v>15.40665023767126</v>
      </c>
      <c r="AF19" s="25">
        <f t="shared" ca="1" si="6"/>
        <v>15.920654723922011</v>
      </c>
      <c r="AG19" s="25">
        <f ca="1">1+SUM(AD$8:AD18)</f>
        <v>5.5657385740966951</v>
      </c>
      <c r="AH19" s="25">
        <f t="shared" ca="1" si="12"/>
        <v>0.16069111947515946</v>
      </c>
      <c r="AI19" s="25">
        <f t="shared" ca="1" si="13"/>
        <v>0.16069111947515946</v>
      </c>
      <c r="AK19" s="25">
        <f t="shared" ca="1" si="7"/>
        <v>2.1226202249557957</v>
      </c>
      <c r="AL19" s="25">
        <f t="shared" ca="1" si="14"/>
        <v>2.1226202249557957</v>
      </c>
      <c r="AM19">
        <f t="shared" ca="1" si="8"/>
        <v>15.40665023767126</v>
      </c>
    </row>
    <row r="20" spans="1:39" ht="17.25" thickTop="1" thickBot="1" x14ac:dyDescent="0.3">
      <c r="D20">
        <f t="shared" ref="D20:D21" si="16">D15/E$3</f>
        <v>11.550750000000001</v>
      </c>
      <c r="E20">
        <f>E10</f>
        <v>3.4771212547196626</v>
      </c>
      <c r="G20">
        <f t="shared" si="9"/>
        <v>1.2000000000000004E-2</v>
      </c>
      <c r="H20" s="25">
        <f t="shared" si="0"/>
        <v>5.4848669970591964E-2</v>
      </c>
      <c r="J20">
        <f t="shared" si="2"/>
        <v>4.1272795254492572E-3</v>
      </c>
      <c r="X20" s="1">
        <f t="shared" si="10"/>
        <v>12</v>
      </c>
      <c r="Y20" s="29" cm="1">
        <f t="array" ref="Y20">INDEX(J$8:J$1504,Z20) +(X20-INDEX(H$8:H$1504,Z20))*(INDEX(J$8:J$1504,Z20+1)-INDEX(J$8:J$1504,Z20))/(INDEX(H$8:H$1504,Z20+1)-INDEX(H$8:H$1504,Z20))</f>
        <v>0.89334119861775996</v>
      </c>
      <c r="Z20" s="1">
        <f t="shared" si="3"/>
        <v>325</v>
      </c>
      <c r="AA20" s="13"/>
      <c r="AB20" s="32">
        <f t="shared" si="11"/>
        <v>12</v>
      </c>
      <c r="AC20" s="25">
        <f t="shared" si="1"/>
        <v>7.8224212304326413</v>
      </c>
      <c r="AD20" s="25">
        <f t="shared" ca="1" si="4"/>
        <v>1.2233201486966188</v>
      </c>
      <c r="AE20" s="25">
        <f t="shared" ca="1" si="5"/>
        <v>15.012940865650467</v>
      </c>
      <c r="AF20" s="25">
        <f t="shared" ca="1" si="6"/>
        <v>18.365633052141074</v>
      </c>
      <c r="AG20" s="25">
        <f ca="1">1+SUM(AD$8:AD19)</f>
        <v>6.5991010817360225</v>
      </c>
      <c r="AH20" s="25">
        <f t="shared" ca="1" si="12"/>
        <v>0.1899576410572914</v>
      </c>
      <c r="AI20" s="25">
        <f t="shared" ca="1" si="13"/>
        <v>0.1899576410572914</v>
      </c>
      <c r="AK20" s="25">
        <f t="shared" ca="1" si="7"/>
        <v>2.4449783282190634</v>
      </c>
      <c r="AL20" s="25">
        <f t="shared" ca="1" si="14"/>
        <v>2.4449783282190634</v>
      </c>
      <c r="AM20">
        <f t="shared" ca="1" si="8"/>
        <v>15.012940865650467</v>
      </c>
    </row>
    <row r="21" spans="1:39" ht="17.25" thickTop="1" thickBot="1" x14ac:dyDescent="0.3">
      <c r="D21">
        <f t="shared" si="16"/>
        <v>12.5</v>
      </c>
      <c r="E21">
        <f>E11</f>
        <v>3.4771212547196626</v>
      </c>
      <c r="G21">
        <f t="shared" si="9"/>
        <v>1.3000000000000005E-2</v>
      </c>
      <c r="H21" s="25">
        <f t="shared" si="0"/>
        <v>6.1115703743862319E-2</v>
      </c>
      <c r="J21">
        <f t="shared" si="2"/>
        <v>4.5987867231508835E-3</v>
      </c>
      <c r="X21" s="1">
        <f t="shared" si="10"/>
        <v>13</v>
      </c>
      <c r="Y21" s="29" cm="1">
        <f t="array" ref="Y21">INDEX(J$8:J$1504,Z21) +(X21-INDEX(H$8:H$1504,Z21))*(INDEX(J$8:J$1504,Z21+1)-INDEX(J$8:J$1504,Z21))/(INDEX(H$8:H$1504,Z21+1)-INDEX(H$8:H$1504,Z21))</f>
        <v>0.96709029898160948</v>
      </c>
      <c r="Z21" s="1">
        <f t="shared" si="3"/>
        <v>341</v>
      </c>
      <c r="AA21" s="13"/>
      <c r="AB21" s="32">
        <f t="shared" si="11"/>
        <v>13</v>
      </c>
      <c r="AC21" s="25">
        <f t="shared" si="1"/>
        <v>9.270225508808748</v>
      </c>
      <c r="AD21" s="25">
        <f t="shared" ca="1" si="4"/>
        <v>1.4478042783761067</v>
      </c>
      <c r="AE21" s="25">
        <f t="shared" ca="1" si="5"/>
        <v>14.629833043914442</v>
      </c>
      <c r="AF21" s="25">
        <f t="shared" ca="1" si="6"/>
        <v>21.181134872907467</v>
      </c>
      <c r="AG21" s="25">
        <f ca="1">1+SUM(AD$8:AD20)</f>
        <v>7.8224212304326413</v>
      </c>
      <c r="AH21" s="25">
        <f t="shared" ca="1" si="12"/>
        <v>0.22448412967948794</v>
      </c>
      <c r="AI21" s="25">
        <f t="shared" ca="1" si="13"/>
        <v>0.22448412967948794</v>
      </c>
      <c r="AK21" s="25">
        <f t="shared" ca="1" si="7"/>
        <v>2.8155018207663929</v>
      </c>
      <c r="AL21" s="25">
        <f t="shared" ca="1" si="14"/>
        <v>2.8155018207663929</v>
      </c>
      <c r="AM21">
        <f t="shared" ca="1" si="8"/>
        <v>14.629833043914442</v>
      </c>
    </row>
    <row r="22" spans="1:39" ht="17.25" thickTop="1" thickBot="1" x14ac:dyDescent="0.3">
      <c r="D22" s="15" t="s">
        <v>49</v>
      </c>
      <c r="G22">
        <f t="shared" si="9"/>
        <v>1.4000000000000005E-2</v>
      </c>
      <c r="H22" s="25">
        <f t="shared" si="0"/>
        <v>6.7641311193758893E-2</v>
      </c>
      <c r="J22">
        <f t="shared" si="2"/>
        <v>5.0897312346732714E-3</v>
      </c>
      <c r="X22" s="1">
        <f t="shared" si="10"/>
        <v>14</v>
      </c>
      <c r="Y22" s="29" cm="1">
        <f t="array" ref="Y22">INDEX(J$8:J$1504,Z22) +(X22-INDEX(H$8:H$1504,Z22))*(INDEX(J$8:J$1504,Z22+1)-INDEX(J$8:J$1504,Z22))/(INDEX(H$8:H$1504,Z22+1)-INDEX(H$8:H$1504,Z22))</f>
        <v>1.0407297848565371</v>
      </c>
      <c r="Z22" s="1">
        <f t="shared" si="3"/>
        <v>356</v>
      </c>
      <c r="AA22" s="13"/>
      <c r="AB22" s="32">
        <f t="shared" si="11"/>
        <v>14</v>
      </c>
      <c r="AC22" s="25">
        <f t="shared" si="1"/>
        <v>10.983222579772377</v>
      </c>
      <c r="AD22" s="25">
        <f t="shared" ca="1" si="4"/>
        <v>1.7129970709636293</v>
      </c>
      <c r="AE22" s="25">
        <f t="shared" ca="1" si="5"/>
        <v>14.257037061985525</v>
      </c>
      <c r="AF22" s="25">
        <f t="shared" ca="1" si="6"/>
        <v>24.422262727801112</v>
      </c>
      <c r="AG22" s="25">
        <f ca="1">1+SUM(AD$8:AD21)</f>
        <v>9.270225508808748</v>
      </c>
      <c r="AH22" s="25">
        <f t="shared" ca="1" si="12"/>
        <v>0.2651927925875226</v>
      </c>
      <c r="AI22" s="25">
        <f t="shared" ca="1" si="13"/>
        <v>0.2651927925875226</v>
      </c>
      <c r="AK22" s="25">
        <f t="shared" ca="1" si="7"/>
        <v>3.2411278548936444</v>
      </c>
      <c r="AL22" s="25">
        <f t="shared" ca="1" si="14"/>
        <v>3.2411278548936444</v>
      </c>
      <c r="AM22">
        <f t="shared" ca="1" si="8"/>
        <v>14.257037061985525</v>
      </c>
    </row>
    <row r="23" spans="1:39" ht="17.25" thickTop="1" thickBot="1" x14ac:dyDescent="0.3">
      <c r="D23" s="15">
        <f>E19/D19</f>
        <v>0.3010299956639812</v>
      </c>
      <c r="G23">
        <f t="shared" si="9"/>
        <v>1.5000000000000006E-2</v>
      </c>
      <c r="H23" s="25">
        <f t="shared" si="0"/>
        <v>7.442497861552394E-2</v>
      </c>
      <c r="J23">
        <f t="shared" si="2"/>
        <v>5.6000726853764476E-3</v>
      </c>
      <c r="X23" s="1">
        <f t="shared" si="10"/>
        <v>15</v>
      </c>
      <c r="Y23" s="29" cm="1">
        <f t="array" ref="Y23">INDEX(J$8:J$1504,Z23) +(X23-INDEX(H$8:H$1504,Z23))*(INDEX(J$8:J$1504,Z23+1)-INDEX(J$8:J$1504,Z23))/(INDEX(H$8:H$1504,Z23+1)-INDEX(H$8:H$1504,Z23))</f>
        <v>1.1142570008970425</v>
      </c>
      <c r="Z23" s="1">
        <f t="shared" si="3"/>
        <v>372</v>
      </c>
      <c r="AA23" s="13"/>
      <c r="AB23" s="32">
        <f t="shared" si="11"/>
        <v>15</v>
      </c>
      <c r="AC23" s="25">
        <f t="shared" si="1"/>
        <v>13.009392024451076</v>
      </c>
      <c r="AD23" s="25">
        <f t="shared" ca="1" si="4"/>
        <v>2.0261694446786986</v>
      </c>
      <c r="AE23" s="25">
        <f t="shared" ca="1" si="5"/>
        <v>13.894273675649082</v>
      </c>
      <c r="AF23" s="25">
        <f t="shared" ca="1" si="6"/>
        <v>28.15215277760376</v>
      </c>
      <c r="AG23" s="25">
        <f ca="1">1+SUM(AD$8:AD22)</f>
        <v>10.983222579772377</v>
      </c>
      <c r="AH23" s="25">
        <f t="shared" ca="1" si="12"/>
        <v>0.31317237371506934</v>
      </c>
      <c r="AI23" s="25">
        <f t="shared" ca="1" si="13"/>
        <v>0.31317237371506934</v>
      </c>
      <c r="AK23" s="25">
        <f t="shared" ca="1" si="7"/>
        <v>3.7298900498026484</v>
      </c>
      <c r="AL23" s="25">
        <f t="shared" ca="1" si="14"/>
        <v>3.7298900498026484</v>
      </c>
      <c r="AM23">
        <f t="shared" ca="1" si="8"/>
        <v>13.894273675649082</v>
      </c>
    </row>
    <row r="24" spans="1:39" ht="17.25" thickTop="1" thickBot="1" x14ac:dyDescent="0.3">
      <c r="G24">
        <f t="shared" si="9"/>
        <v>1.6000000000000007E-2</v>
      </c>
      <c r="H24" s="25">
        <f t="shared" si="0"/>
        <v>8.1466192304399776E-2</v>
      </c>
      <c r="J24">
        <f t="shared" si="2"/>
        <v>6.1297707006204355E-3</v>
      </c>
      <c r="X24" s="1">
        <f t="shared" si="10"/>
        <v>16</v>
      </c>
      <c r="Y24" s="29" cm="1">
        <f t="array" ref="Y24">INDEX(J$8:J$1504,Z24) +(X24-INDEX(H$8:H$1504,Z24))*(INDEX(J$8:J$1504,Z24+1)-INDEX(J$8:J$1504,Z24))/(INDEX(H$8:H$1504,Z24+1)-INDEX(H$8:H$1504,Z24))</f>
        <v>1.1876689094044997</v>
      </c>
      <c r="Z24" s="1">
        <f t="shared" si="3"/>
        <v>387</v>
      </c>
      <c r="AA24" s="13"/>
      <c r="AB24" s="32">
        <f t="shared" si="11"/>
        <v>16</v>
      </c>
      <c r="AC24" s="25">
        <f t="shared" si="1"/>
        <v>15.405255635135264</v>
      </c>
      <c r="AD24" s="25">
        <f t="shared" ca="1" si="4"/>
        <v>2.395863610684188</v>
      </c>
      <c r="AE24" s="25">
        <f t="shared" ca="1" si="5"/>
        <v>13.541272713947091</v>
      </c>
      <c r="AF24" s="25">
        <f t="shared" ca="1" si="6"/>
        <v>32.443042537696549</v>
      </c>
      <c r="AG24" s="25">
        <f ca="1">1+SUM(AD$8:AD23)</f>
        <v>13.009392024451076</v>
      </c>
      <c r="AH24" s="25">
        <f t="shared" ca="1" si="12"/>
        <v>0.36969416600548932</v>
      </c>
      <c r="AI24" s="25">
        <f t="shared" ca="1" si="13"/>
        <v>0.36969416600548932</v>
      </c>
      <c r="AK24" s="25">
        <f t="shared" ca="1" si="7"/>
        <v>4.2908897600927887</v>
      </c>
      <c r="AL24" s="25">
        <f t="shared" ca="1" si="14"/>
        <v>4.2908897600927887</v>
      </c>
      <c r="AM24">
        <f t="shared" ca="1" si="8"/>
        <v>13.541272713947091</v>
      </c>
    </row>
    <row r="25" spans="1:39" ht="17.25" thickTop="1" thickBot="1" x14ac:dyDescent="0.3">
      <c r="G25">
        <f t="shared" si="9"/>
        <v>1.7000000000000008E-2</v>
      </c>
      <c r="H25" s="25">
        <f t="shared" si="0"/>
        <v>8.8764438555628669E-2</v>
      </c>
      <c r="J25">
        <f t="shared" si="2"/>
        <v>6.6787849057652606E-3</v>
      </c>
      <c r="X25" s="1">
        <f t="shared" si="10"/>
        <v>17</v>
      </c>
      <c r="Y25" s="29" cm="1">
        <f t="array" ref="Y25">INDEX(J$8:J$1504,Z25) +(X25-INDEX(H$8:H$1504,Z25))*(INDEX(J$8:J$1504,Z25+1)-INDEX(J$8:J$1504,Z25))/(INDEX(H$8:H$1504,Z25+1)-INDEX(H$8:H$1504,Z25))</f>
        <v>1.2609621164882661</v>
      </c>
      <c r="Z25" s="1">
        <f t="shared" si="3"/>
        <v>401</v>
      </c>
      <c r="AA25" s="13"/>
      <c r="AB25" s="32">
        <f t="shared" si="11"/>
        <v>17</v>
      </c>
      <c r="AC25" s="25">
        <f t="shared" si="1"/>
        <v>18.237366108192784</v>
      </c>
      <c r="AD25" s="25">
        <f t="shared" ca="1" si="4"/>
        <v>2.8321104730575204</v>
      </c>
      <c r="AE25" s="25">
        <f t="shared" ca="1" si="5"/>
        <v>13.197772792289324</v>
      </c>
      <c r="AF25" s="25">
        <f t="shared" ca="1" si="6"/>
        <v>37.377550546076193</v>
      </c>
      <c r="AG25" s="25">
        <f ca="1">1+SUM(AD$8:AD24)</f>
        <v>15.405255635135264</v>
      </c>
      <c r="AH25" s="25">
        <f t="shared" ca="1" si="12"/>
        <v>0.43624686237333243</v>
      </c>
      <c r="AI25" s="25">
        <f t="shared" ca="1" si="13"/>
        <v>0.43624686237333243</v>
      </c>
      <c r="AK25" s="25">
        <f t="shared" ca="1" si="7"/>
        <v>4.9345080083796447</v>
      </c>
      <c r="AL25" s="25">
        <f t="shared" ca="1" si="14"/>
        <v>4.9345080083796447</v>
      </c>
      <c r="AM25">
        <f t="shared" ca="1" si="8"/>
        <v>13.197772792289326</v>
      </c>
    </row>
    <row r="26" spans="1:39" ht="17.25" thickTop="1" thickBot="1" x14ac:dyDescent="0.3">
      <c r="G26">
        <f t="shared" si="9"/>
        <v>1.8000000000000009E-2</v>
      </c>
      <c r="H26" s="25">
        <f t="shared" si="0"/>
        <v>9.6319203664452929E-2</v>
      </c>
      <c r="J26">
        <f t="shared" si="2"/>
        <v>7.247074926170949E-3</v>
      </c>
      <c r="X26" s="1">
        <f t="shared" si="10"/>
        <v>18</v>
      </c>
      <c r="Y26" s="29" cm="1">
        <f t="array" ref="Y26">INDEX(J$8:J$1504,Z26) +(X26-INDEX(H$8:H$1504,Z26))*(INDEX(J$8:J$1504,Z26+1)-INDEX(J$8:J$1504,Z26))/(INDEX(H$8:H$1504,Z26+1)-INDEX(H$8:H$1504,Z26))</f>
        <v>1.3341327162194341</v>
      </c>
      <c r="Z26" s="1">
        <f t="shared" si="3"/>
        <v>416</v>
      </c>
      <c r="AA26" s="13"/>
      <c r="AB26" s="32">
        <f t="shared" si="11"/>
        <v>18</v>
      </c>
      <c r="AC26" s="25">
        <f t="shared" si="1"/>
        <v>21.584038958661417</v>
      </c>
      <c r="AD26" s="25">
        <f t="shared" ca="1" si="4"/>
        <v>3.3466728504686323</v>
      </c>
      <c r="AE26" s="25">
        <f t="shared" ca="1" si="5"/>
        <v>12.863520804363592</v>
      </c>
      <c r="AF26" s="25">
        <f t="shared" ca="1" si="6"/>
        <v>43.049995837402058</v>
      </c>
      <c r="AG26" s="25">
        <f ca="1">1+SUM(AD$8:AD25)</f>
        <v>18.237366108192784</v>
      </c>
      <c r="AH26" s="25">
        <f t="shared" ca="1" si="12"/>
        <v>0.51456237741111188</v>
      </c>
      <c r="AI26" s="25">
        <f t="shared" ca="1" si="13"/>
        <v>0.51456237741111188</v>
      </c>
      <c r="AK26" s="25">
        <f t="shared" ca="1" si="7"/>
        <v>5.6724452913258645</v>
      </c>
      <c r="AL26" s="25">
        <f t="shared" ca="1" si="14"/>
        <v>5.6724452913258645</v>
      </c>
      <c r="AM26">
        <f t="shared" ca="1" si="8"/>
        <v>12.863520804363592</v>
      </c>
    </row>
    <row r="27" spans="1:39" ht="17.25" thickTop="1" thickBot="1" x14ac:dyDescent="0.3">
      <c r="G27">
        <f t="shared" si="9"/>
        <v>1.900000000000001E-2</v>
      </c>
      <c r="H27" s="25">
        <f t="shared" si="0"/>
        <v>0.10412997392611478</v>
      </c>
      <c r="J27">
        <f t="shared" si="2"/>
        <v>7.8346003871975246E-3</v>
      </c>
      <c r="X27" s="1">
        <f t="shared" si="10"/>
        <v>19</v>
      </c>
      <c r="Y27" s="29" cm="1">
        <f t="array" ref="Y27">INDEX(J$8:J$1504,Z27) +(X27-INDEX(H$8:H$1504,Z27))*(INDEX(J$8:J$1504,Z27+1)-INDEX(J$8:J$1504,Z27))/(INDEX(H$8:H$1504,Z27+1)-INDEX(H$8:H$1504,Z27))</f>
        <v>1.4071766379057171</v>
      </c>
      <c r="Z27" s="1">
        <f t="shared" si="3"/>
        <v>430</v>
      </c>
      <c r="AA27" s="13"/>
      <c r="AB27" s="32">
        <f t="shared" si="11"/>
        <v>19</v>
      </c>
      <c r="AC27" s="25">
        <f t="shared" si="1"/>
        <v>25.537397582251728</v>
      </c>
      <c r="AD27" s="25">
        <f t="shared" ca="1" si="4"/>
        <v>3.9533586235903115</v>
      </c>
      <c r="AE27" s="25">
        <f t="shared" ca="1" si="5"/>
        <v>12.538272251905887</v>
      </c>
      <c r="AF27" s="25">
        <f t="shared" ca="1" si="6"/>
        <v>49.568286731995258</v>
      </c>
      <c r="AG27" s="25">
        <f ca="1">1+SUM(AD$8:AD26)</f>
        <v>21.584038958661417</v>
      </c>
      <c r="AH27" s="25">
        <f t="shared" ca="1" si="12"/>
        <v>0.60668577312167926</v>
      </c>
      <c r="AI27" s="25">
        <f t="shared" ca="1" si="13"/>
        <v>0.60668577312167926</v>
      </c>
      <c r="AK27" s="25">
        <f t="shared" ca="1" si="7"/>
        <v>6.5182908945931999</v>
      </c>
      <c r="AL27" s="25">
        <f t="shared" ca="1" si="14"/>
        <v>6.5182908945931999</v>
      </c>
      <c r="AM27">
        <f t="shared" ca="1" si="8"/>
        <v>12.538272251905887</v>
      </c>
    </row>
    <row r="28" spans="1:39" ht="17.25" thickTop="1" thickBot="1" x14ac:dyDescent="0.3">
      <c r="G28">
        <f t="shared" si="9"/>
        <v>2.0000000000000011E-2</v>
      </c>
      <c r="H28" s="25">
        <f t="shared" si="0"/>
        <v>0.11219623563585658</v>
      </c>
      <c r="J28">
        <f t="shared" si="2"/>
        <v>8.4413209142050125E-3</v>
      </c>
      <c r="X28" s="1">
        <f t="shared" si="10"/>
        <v>20</v>
      </c>
      <c r="Y28" s="29" cm="1">
        <f t="array" ref="Y28">INDEX(J$8:J$1504,Z28) +(X28-INDEX(H$8:H$1504,Z28))*(INDEX(J$8:J$1504,Z28+1)-INDEX(J$8:J$1504,Z28))/(INDEX(H$8:H$1504,Z28+1)-INDEX(H$8:H$1504,Z28))</f>
        <v>1.480088913599376</v>
      </c>
      <c r="Z28" s="1">
        <f t="shared" si="3"/>
        <v>445</v>
      </c>
      <c r="AA28" s="13"/>
      <c r="AB28" s="32">
        <f t="shared" si="11"/>
        <v>20</v>
      </c>
      <c r="AC28" s="25">
        <f t="shared" si="1"/>
        <v>30.205700618204222</v>
      </c>
      <c r="AD28" s="25">
        <f t="shared" ca="1" si="4"/>
        <v>4.6683030359524942</v>
      </c>
      <c r="AE28" s="25">
        <f t="shared" ca="1" si="5"/>
        <v>12.221789337642841</v>
      </c>
      <c r="AF28" s="25">
        <f t="shared" ca="1" si="6"/>
        <v>57.055016269689901</v>
      </c>
      <c r="AG28" s="25">
        <f ca="1">1+SUM(AD$8:AD27)</f>
        <v>25.537397582251728</v>
      </c>
      <c r="AH28" s="25">
        <f t="shared" ca="1" si="12"/>
        <v>0.71494441236218265</v>
      </c>
      <c r="AI28" s="25">
        <f t="shared" ca="1" si="13"/>
        <v>0.71494441236218265</v>
      </c>
      <c r="AK28" s="25">
        <f t="shared" ca="1" si="7"/>
        <v>7.486729537694643</v>
      </c>
      <c r="AL28" s="25">
        <f t="shared" ca="1" si="14"/>
        <v>7.486729537694643</v>
      </c>
      <c r="AM28">
        <f t="shared" ca="1" si="8"/>
        <v>12.221789337642841</v>
      </c>
    </row>
    <row r="29" spans="1:39" ht="17.25" thickTop="1" thickBot="1" x14ac:dyDescent="0.3">
      <c r="G29">
        <f t="shared" si="9"/>
        <v>2.1000000000000012E-2</v>
      </c>
      <c r="H29" s="25">
        <f t="shared" si="0"/>
        <v>0.12051747508892059</v>
      </c>
      <c r="J29">
        <f t="shared" si="2"/>
        <v>9.06719613255344E-3</v>
      </c>
      <c r="X29" s="1">
        <f t="shared" si="10"/>
        <v>21</v>
      </c>
      <c r="Y29" s="29" cm="1">
        <f t="array" ref="Y29">INDEX(J$8:J$1504,Z29) +(X29-INDEX(H$8:H$1504,Z29))*(INDEX(J$8:J$1504,Z29+1)-INDEX(J$8:J$1504,Z29))/(INDEX(H$8:H$1504,Z29+1)-INDEX(H$8:H$1504,Z29))</f>
        <v>1.5528644991986522</v>
      </c>
      <c r="Z29" s="1">
        <f t="shared" si="3"/>
        <v>459</v>
      </c>
      <c r="AA29" s="13"/>
      <c r="AB29" s="32">
        <f t="shared" si="11"/>
        <v>21</v>
      </c>
      <c r="AC29" s="25">
        <f t="shared" si="1"/>
        <v>35.716138565473571</v>
      </c>
      <c r="AD29" s="25">
        <f t="shared" ca="1" si="4"/>
        <v>5.5104379472693488</v>
      </c>
      <c r="AE29" s="25">
        <f t="shared" ca="1" si="5"/>
        <v>11.913843810156804</v>
      </c>
      <c r="AF29" s="25">
        <f t="shared" ca="1" si="6"/>
        <v>65.650497029328093</v>
      </c>
      <c r="AG29" s="25">
        <f ca="1">1+SUM(AD$8:AD28)</f>
        <v>30.205700618204222</v>
      </c>
      <c r="AH29" s="25">
        <f t="shared" ca="1" si="12"/>
        <v>0.84213491131685458</v>
      </c>
      <c r="AI29" s="25">
        <f t="shared" ca="1" si="13"/>
        <v>0.84213491131685458</v>
      </c>
      <c r="AK29" s="25">
        <f t="shared" ca="1" si="7"/>
        <v>8.5954807596381926</v>
      </c>
      <c r="AL29" s="25">
        <f t="shared" ca="1" si="14"/>
        <v>8.5954807596381926</v>
      </c>
      <c r="AM29">
        <f t="shared" ca="1" si="8"/>
        <v>11.913843810156804</v>
      </c>
    </row>
    <row r="30" spans="1:39" ht="17.25" thickTop="1" thickBot="1" x14ac:dyDescent="0.3">
      <c r="G30">
        <f t="shared" si="9"/>
        <v>2.2000000000000013E-2</v>
      </c>
      <c r="H30" s="25">
        <f t="shared" si="0"/>
        <v>0.12909317858054906</v>
      </c>
      <c r="J30">
        <f t="shared" si="2"/>
        <v>9.7121856676028306E-3</v>
      </c>
      <c r="X30" s="1">
        <f t="shared" si="10"/>
        <v>22</v>
      </c>
      <c r="Y30" s="29" cm="1">
        <f t="array" ref="Y30">INDEX(J$8:J$1504,Z30) +(X30-INDEX(H$8:H$1504,Z30))*(INDEX(J$8:J$1504,Z30+1)-INDEX(J$8:J$1504,Z30))/(INDEX(H$8:H$1504,Z30+1)-INDEX(H$8:H$1504,Z30))</f>
        <v>1.6254976119282472</v>
      </c>
      <c r="Z30" s="1">
        <f t="shared" si="3"/>
        <v>473</v>
      </c>
      <c r="AA30" s="13"/>
      <c r="AB30" s="32">
        <f t="shared" si="11"/>
        <v>22</v>
      </c>
      <c r="AC30" s="25">
        <f t="shared" si="1"/>
        <v>42.21799575875982</v>
      </c>
      <c r="AD30" s="25">
        <f t="shared" ca="1" si="4"/>
        <v>6.5018571932862486</v>
      </c>
      <c r="AE30" s="25">
        <f t="shared" ca="1" si="5"/>
        <v>11.614213040866634</v>
      </c>
      <c r="AF30" s="25">
        <f t="shared" ca="1" si="6"/>
        <v>75.513954604117686</v>
      </c>
      <c r="AG30" s="25">
        <f ca="1">1+SUM(AD$8:AD29)</f>
        <v>35.716138565473571</v>
      </c>
      <c r="AH30" s="25">
        <f t="shared" ca="1" si="12"/>
        <v>0.99141924601689979</v>
      </c>
      <c r="AI30" s="25">
        <f t="shared" ca="1" si="13"/>
        <v>0.99141924601689979</v>
      </c>
      <c r="AK30" s="25">
        <f t="shared" ca="1" si="7"/>
        <v>9.8634575747895923</v>
      </c>
      <c r="AL30" s="25">
        <f t="shared" ca="1" si="14"/>
        <v>9.8634575747895923</v>
      </c>
      <c r="AM30">
        <f t="shared" ca="1" si="8"/>
        <v>11.614213040866636</v>
      </c>
    </row>
    <row r="31" spans="1:39" ht="17.25" thickTop="1" thickBot="1" x14ac:dyDescent="0.3">
      <c r="G31">
        <f t="shared" si="9"/>
        <v>2.3000000000000013E-2</v>
      </c>
      <c r="H31" s="25">
        <f t="shared" si="0"/>
        <v>0.13792283240598432</v>
      </c>
      <c r="J31">
        <f t="shared" si="2"/>
        <v>1.0376249144713209E-2</v>
      </c>
      <c r="X31" s="1">
        <f t="shared" si="10"/>
        <v>23</v>
      </c>
      <c r="Y31" s="29" cm="1">
        <f t="array" ref="Y31">INDEX(J$8:J$1504,Z31) +(X31-INDEX(H$8:H$1504,Z31))*(INDEX(J$8:J$1504,Z31+1)-INDEX(J$8:J$1504,Z31))/(INDEX(H$8:H$1504,Z31+1)-INDEX(H$8:H$1504,Z31))</f>
        <v>1.6979818711886918</v>
      </c>
      <c r="Z31" s="1">
        <f t="shared" si="3"/>
        <v>487</v>
      </c>
      <c r="AA31" s="13"/>
      <c r="AB31" s="32">
        <f t="shared" si="11"/>
        <v>23</v>
      </c>
      <c r="AC31" s="25">
        <f t="shared" si="1"/>
        <v>49.886366289430647</v>
      </c>
      <c r="AD31" s="25">
        <f t="shared" ca="1" si="4"/>
        <v>7.6683705306708276</v>
      </c>
      <c r="AE31" s="25">
        <f t="shared" ca="1" si="5"/>
        <v>11.322682522290798</v>
      </c>
      <c r="AF31" s="25">
        <f t="shared" ca="1" si="6"/>
        <v>86.826524982076393</v>
      </c>
      <c r="AG31" s="25">
        <f ca="1">1+SUM(AD$8:AD30)</f>
        <v>42.21799575875982</v>
      </c>
      <c r="AH31" s="25">
        <f t="shared" ca="1" si="12"/>
        <v>1.1665133373845791</v>
      </c>
      <c r="AI31" s="25">
        <f t="shared" ca="1" si="13"/>
        <v>1.1665133373845791</v>
      </c>
      <c r="AK31" s="25">
        <f t="shared" ca="1" si="7"/>
        <v>11.312570377958707</v>
      </c>
      <c r="AL31" s="25">
        <f t="shared" ca="1" si="14"/>
        <v>11.312570377958707</v>
      </c>
      <c r="AM31">
        <f t="shared" ca="1" si="8"/>
        <v>11.322682522290798</v>
      </c>
    </row>
    <row r="32" spans="1:39" ht="17.25" thickTop="1" thickBot="1" x14ac:dyDescent="0.3">
      <c r="G32">
        <f t="shared" si="9"/>
        <v>2.4000000000000014E-2</v>
      </c>
      <c r="H32" s="25">
        <f t="shared" si="0"/>
        <v>0.14700592286046865</v>
      </c>
      <c r="J32">
        <f t="shared" si="2"/>
        <v>1.1059346189244602E-2</v>
      </c>
      <c r="X32" s="1">
        <f t="shared" si="10"/>
        <v>24</v>
      </c>
      <c r="Y32" s="29" cm="1">
        <f t="array" ref="Y32">INDEX(J$8:J$1504,Z32) +(X32-INDEX(H$8:H$1504,Z32))*(INDEX(J$8:J$1504,Z32+1)-INDEX(J$8:J$1504,Z32))/(INDEX(H$8:H$1504,Z32+1)-INDEX(H$8:H$1504,Z32))</f>
        <v>1.7703102391144401</v>
      </c>
      <c r="Z32" s="1">
        <f t="shared" si="3"/>
        <v>501</v>
      </c>
      <c r="AA32" s="13"/>
      <c r="AB32" s="32">
        <f t="shared" si="11"/>
        <v>24</v>
      </c>
      <c r="AC32" s="25">
        <f t="shared" si="1"/>
        <v>58.926444725389295</v>
      </c>
      <c r="AD32" s="25">
        <f t="shared" ca="1" si="4"/>
        <v>9.0400784359586481</v>
      </c>
      <c r="AE32" s="25">
        <f t="shared" ca="1" si="5"/>
        <v>11.039044870562202</v>
      </c>
      <c r="AF32" s="25">
        <f t="shared" ca="1" si="6"/>
        <v>99.793831487949291</v>
      </c>
      <c r="AG32" s="25">
        <f ca="1">1+SUM(AD$8:AD31)</f>
        <v>49.886366289430647</v>
      </c>
      <c r="AH32" s="25">
        <f t="shared" ca="1" si="12"/>
        <v>1.3717079052878205</v>
      </c>
      <c r="AI32" s="25">
        <f t="shared" ca="1" si="13"/>
        <v>1.3717079052878205</v>
      </c>
      <c r="AK32" s="25">
        <f t="shared" ca="1" si="7"/>
        <v>12.967306505872898</v>
      </c>
      <c r="AL32" s="25">
        <f t="shared" ca="1" si="14"/>
        <v>12.967306505872898</v>
      </c>
      <c r="AM32">
        <f t="shared" ca="1" si="8"/>
        <v>11.039044870562202</v>
      </c>
    </row>
    <row r="33" spans="7:39" ht="17.25" thickTop="1" thickBot="1" x14ac:dyDescent="0.3">
      <c r="G33">
        <f t="shared" si="9"/>
        <v>2.5000000000000015E-2</v>
      </c>
      <c r="H33" s="25">
        <f t="shared" si="0"/>
        <v>0.15634193623924431</v>
      </c>
      <c r="J33">
        <f t="shared" si="2"/>
        <v>1.1761436426557035E-2</v>
      </c>
      <c r="X33" s="1">
        <f t="shared" si="10"/>
        <v>25</v>
      </c>
      <c r="Y33" s="29" cm="1">
        <f t="array" ref="Y33">INDEX(J$8:J$1504,Z33) +(X33-INDEX(H$8:H$1504,Z33))*(INDEX(J$8:J$1504,Z33+1)-INDEX(J$8:J$1504,Z33))/(INDEX(H$8:H$1504,Z33+1)-INDEX(H$8:H$1504,Z33))</f>
        <v>1.8424749336142061</v>
      </c>
      <c r="Z33" s="1">
        <f t="shared" si="3"/>
        <v>515</v>
      </c>
      <c r="AA33" s="13"/>
      <c r="AB33" s="32">
        <f t="shared" si="11"/>
        <v>25</v>
      </c>
      <c r="AC33" s="25">
        <f t="shared" si="1"/>
        <v>69.578479459232156</v>
      </c>
      <c r="AD33" s="25">
        <f t="shared" ca="1" si="4"/>
        <v>10.652034733842861</v>
      </c>
      <c r="AE33" s="25">
        <f t="shared" ca="1" si="5"/>
        <v>10.763099693564461</v>
      </c>
      <c r="AF33" s="25">
        <f t="shared" ca="1" si="6"/>
        <v>114.64891177966209</v>
      </c>
      <c r="AG33" s="25">
        <f ca="1">1+SUM(AD$8:AD32)</f>
        <v>58.926444725389295</v>
      </c>
      <c r="AH33" s="25">
        <f t="shared" ca="1" si="12"/>
        <v>1.6119562978842126</v>
      </c>
      <c r="AI33" s="25">
        <f t="shared" ca="1" si="13"/>
        <v>1.6119562978842126</v>
      </c>
      <c r="AK33" s="25">
        <f t="shared" ca="1" si="7"/>
        <v>14.855080291712795</v>
      </c>
      <c r="AL33" s="25">
        <f t="shared" ca="1" si="14"/>
        <v>14.855080291712795</v>
      </c>
      <c r="AM33">
        <f t="shared" ca="1" si="8"/>
        <v>10.763099693564461</v>
      </c>
    </row>
    <row r="34" spans="7:39" ht="17.25" thickTop="1" thickBot="1" x14ac:dyDescent="0.3">
      <c r="G34">
        <f t="shared" si="9"/>
        <v>2.6000000000000016E-2</v>
      </c>
      <c r="H34" s="25">
        <f t="shared" si="0"/>
        <v>0.16593035883755361</v>
      </c>
      <c r="J34">
        <f t="shared" si="2"/>
        <v>1.2482479482010528E-2</v>
      </c>
      <c r="X34" s="1">
        <f t="shared" si="10"/>
        <v>26</v>
      </c>
      <c r="Y34" s="29" cm="1">
        <f t="array" ref="Y34">INDEX(J$8:J$1504,Z34) +(X34-INDEX(H$8:H$1504,Z34))*(INDEX(J$8:J$1504,Z34+1)-INDEX(J$8:J$1504,Z34))/(INDEX(H$8:H$1504,Z34+1)-INDEX(H$8:H$1504,Z34))</f>
        <v>1.9144673272447943</v>
      </c>
      <c r="Z34" s="1">
        <f t="shared" si="3"/>
        <v>529</v>
      </c>
      <c r="AA34" s="13"/>
      <c r="AB34" s="32">
        <f t="shared" si="11"/>
        <v>26</v>
      </c>
      <c r="AC34" s="25">
        <f t="shared" si="1"/>
        <v>82.123476754144264</v>
      </c>
      <c r="AD34" s="25">
        <f t="shared" ca="1" si="4"/>
        <v>12.544997294912108</v>
      </c>
      <c r="AE34" s="25">
        <f t="shared" ca="1" si="5"/>
        <v>10.49465354890298</v>
      </c>
      <c r="AF34" s="25">
        <f t="shared" ca="1" si="6"/>
        <v>131.65540038202764</v>
      </c>
      <c r="AG34" s="25">
        <f ca="1">1+SUM(AD$8:AD33)</f>
        <v>69.578479459232156</v>
      </c>
      <c r="AH34" s="25">
        <f t="shared" ca="1" si="12"/>
        <v>1.8929625610692469</v>
      </c>
      <c r="AI34" s="25">
        <f t="shared" ca="1" si="13"/>
        <v>1.8929625610692469</v>
      </c>
      <c r="AK34" s="25">
        <f t="shared" ca="1" si="7"/>
        <v>17.00648860236555</v>
      </c>
      <c r="AL34" s="25">
        <f t="shared" ca="1" si="14"/>
        <v>17.00648860236555</v>
      </c>
      <c r="AM34">
        <f t="shared" ca="1" si="8"/>
        <v>10.49465354890298</v>
      </c>
    </row>
    <row r="35" spans="7:39" ht="17.25" thickTop="1" thickBot="1" x14ac:dyDescent="0.3">
      <c r="G35">
        <f t="shared" si="9"/>
        <v>2.7000000000000017E-2</v>
      </c>
      <c r="H35" s="25">
        <f t="shared" si="0"/>
        <v>0.1757706769506388</v>
      </c>
      <c r="J35">
        <f t="shared" si="2"/>
        <v>1.3222434980965115E-2</v>
      </c>
      <c r="X35" s="1">
        <f t="shared" si="10"/>
        <v>27</v>
      </c>
      <c r="Y35" s="29" cm="1">
        <f t="array" ref="Y35">INDEX(J$8:J$1504,Z35) +(X35-INDEX(H$8:H$1504,Z35))*(INDEX(J$8:J$1504,Z35+1)-INDEX(J$8:J$1504,Z35))/(INDEX(H$8:H$1504,Z35+1)-INDEX(H$8:H$1504,Z35))</f>
        <v>1.986277829147979</v>
      </c>
      <c r="Z35" s="1">
        <f t="shared" si="3"/>
        <v>543</v>
      </c>
      <c r="AA35" s="13"/>
      <c r="AB35" s="32">
        <f t="shared" si="11"/>
        <v>27</v>
      </c>
      <c r="AC35" s="25">
        <f t="shared" si="1"/>
        <v>96.889748623464726</v>
      </c>
      <c r="AD35" s="25">
        <f t="shared" ca="1" si="4"/>
        <v>14.766271869320462</v>
      </c>
      <c r="AE35" s="25">
        <f t="shared" ca="1" si="5"/>
        <v>10.233519928225155</v>
      </c>
      <c r="AF35" s="25">
        <f t="shared" ca="1" si="6"/>
        <v>151.11093744028145</v>
      </c>
      <c r="AG35" s="25">
        <f ca="1">1+SUM(AD$8:AD34)</f>
        <v>82.123476754144264</v>
      </c>
      <c r="AH35" s="25">
        <f t="shared" ca="1" si="12"/>
        <v>2.2212745744083549</v>
      </c>
      <c r="AI35" s="25">
        <f t="shared" ca="1" si="13"/>
        <v>2.2212745744083549</v>
      </c>
      <c r="AK35" s="25">
        <f t="shared" ca="1" si="7"/>
        <v>19.45553705825381</v>
      </c>
      <c r="AL35" s="25">
        <f t="shared" ca="1" si="14"/>
        <v>19.45553705825381</v>
      </c>
      <c r="AM35">
        <f t="shared" ca="1" si="8"/>
        <v>10.233519928225153</v>
      </c>
    </row>
    <row r="36" spans="7:39" ht="17.25" thickTop="1" thickBot="1" x14ac:dyDescent="0.3">
      <c r="G36">
        <f t="shared" si="9"/>
        <v>2.8000000000000018E-2</v>
      </c>
      <c r="H36" s="25">
        <f t="shared" si="0"/>
        <v>0.18586237687374221</v>
      </c>
      <c r="J36">
        <f t="shared" si="2"/>
        <v>1.3981262548780815E-2</v>
      </c>
      <c r="X36" s="1">
        <f t="shared" si="10"/>
        <v>28</v>
      </c>
      <c r="Y36" s="29" cm="1">
        <f t="array" ref="Y36">INDEX(J$8:J$1504,Z36) +(X36-INDEX(H$8:H$1504,Z36))*(INDEX(J$8:J$1504,Z36+1)-INDEX(J$8:J$1504,Z36))/(INDEX(H$8:H$1504,Z36+1)-INDEX(H$8:H$1504,Z36))</f>
        <v>2.057895746643593</v>
      </c>
      <c r="Z36" s="1">
        <f t="shared" si="3"/>
        <v>557</v>
      </c>
      <c r="AA36" s="13"/>
      <c r="AB36" s="32">
        <f t="shared" si="11"/>
        <v>28</v>
      </c>
      <c r="AC36" s="25">
        <f t="shared" si="1"/>
        <v>114.26040172299237</v>
      </c>
      <c r="AD36" s="25">
        <f t="shared" ca="1" si="4"/>
        <v>17.370653099527644</v>
      </c>
      <c r="AE36" s="25">
        <f t="shared" ca="1" si="5"/>
        <v>9.9795192719909398</v>
      </c>
      <c r="AF36" s="25">
        <f t="shared" ca="1" si="6"/>
        <v>173.35076737380527</v>
      </c>
      <c r="AG36" s="25">
        <f ca="1">1+SUM(AD$8:AD35)</f>
        <v>96.889748623464726</v>
      </c>
      <c r="AH36" s="25">
        <f t="shared" ca="1" si="12"/>
        <v>2.6043812302071814</v>
      </c>
      <c r="AI36" s="25">
        <f t="shared" ca="1" si="13"/>
        <v>2.6043812302071814</v>
      </c>
      <c r="AK36" s="25">
        <f t="shared" ca="1" si="7"/>
        <v>22.239829933523822</v>
      </c>
      <c r="AL36" s="25">
        <f t="shared" ca="1" si="14"/>
        <v>22.239829933523822</v>
      </c>
      <c r="AM36">
        <f t="shared" ca="1" si="8"/>
        <v>9.9795192719909398</v>
      </c>
    </row>
    <row r="37" spans="7:39" ht="17.25" thickTop="1" thickBot="1" x14ac:dyDescent="0.3">
      <c r="G37">
        <f t="shared" si="9"/>
        <v>2.9000000000000019E-2</v>
      </c>
      <c r="H37" s="25">
        <f t="shared" si="0"/>
        <v>0.19620494490210616</v>
      </c>
      <c r="J37">
        <f t="shared" si="2"/>
        <v>1.4758921810817656E-2</v>
      </c>
      <c r="X37" s="1">
        <f t="shared" si="10"/>
        <v>29</v>
      </c>
      <c r="Y37" s="29" cm="1">
        <f t="array" ref="Y37">INDEX(J$8:J$1504,Z37) +(X37-INDEX(H$8:H$1504,Z37))*(INDEX(J$8:J$1504,Z37+1)-INDEX(J$8:J$1504,Z37))/(INDEX(H$8:H$1504,Z37+1)-INDEX(H$8:H$1504,Z37))</f>
        <v>2.1293091222661098</v>
      </c>
      <c r="Z37" s="1">
        <f t="shared" si="3"/>
        <v>571</v>
      </c>
      <c r="AA37" s="13"/>
      <c r="AB37" s="32">
        <f t="shared" si="11"/>
        <v>29</v>
      </c>
      <c r="AC37" s="25">
        <f t="shared" si="1"/>
        <v>134.68186519802768</v>
      </c>
      <c r="AD37" s="25">
        <f t="shared" ca="1" si="4"/>
        <v>20.42146347503531</v>
      </c>
      <c r="AE37" s="25">
        <f t="shared" ca="1" si="5"/>
        <v>9.7324790197879807</v>
      </c>
      <c r="AF37" s="25">
        <f t="shared" ca="1" si="6"/>
        <v>198.75146482414769</v>
      </c>
      <c r="AG37" s="25">
        <f ca="1">1+SUM(AD$8:AD36)</f>
        <v>114.26040172299237</v>
      </c>
      <c r="AH37" s="25">
        <f t="shared" ca="1" si="12"/>
        <v>3.0508103755076661</v>
      </c>
      <c r="AI37" s="25">
        <f t="shared" ca="1" si="13"/>
        <v>3.0508103755076661</v>
      </c>
      <c r="AK37" s="25">
        <f t="shared" ca="1" si="7"/>
        <v>25.40069745034242</v>
      </c>
      <c r="AL37" s="25">
        <f t="shared" ca="1" si="14"/>
        <v>25.40069745034242</v>
      </c>
      <c r="AM37">
        <f t="shared" ca="1" si="8"/>
        <v>9.7324790197879807</v>
      </c>
    </row>
    <row r="38" spans="7:39" ht="17.25" thickTop="1" thickBot="1" x14ac:dyDescent="0.3">
      <c r="G38">
        <f t="shared" si="9"/>
        <v>3.000000000000002E-2</v>
      </c>
      <c r="H38" s="25">
        <f t="shared" si="0"/>
        <v>0.20679786733097277</v>
      </c>
      <c r="J38">
        <f t="shared" si="2"/>
        <v>1.5555372392435658E-2</v>
      </c>
      <c r="X38" s="1">
        <f t="shared" si="10"/>
        <v>30</v>
      </c>
      <c r="Y38" s="29" cm="1">
        <f t="array" ref="Y38">INDEX(J$8:J$1504,Z38) +(X38-INDEX(H$8:H$1504,Z38))*(INDEX(J$8:J$1504,Z38+1)-INDEX(J$8:J$1504,Z38))/(INDEX(H$8:H$1504,Z38+1)-INDEX(H$8:H$1504,Z38))</f>
        <v>2.2005044951966224</v>
      </c>
      <c r="Z38" s="1">
        <f t="shared" si="3"/>
        <v>586</v>
      </c>
      <c r="AA38" s="13"/>
      <c r="AB38" s="32">
        <f t="shared" si="11"/>
        <v>30</v>
      </c>
      <c r="AC38" s="25">
        <f t="shared" si="1"/>
        <v>158.67353424861489</v>
      </c>
      <c r="AD38" s="25">
        <f t="shared" ca="1" si="4"/>
        <v>23.991669050587205</v>
      </c>
      <c r="AE38" s="25">
        <f t="shared" ca="1" si="5"/>
        <v>9.4922337025464056</v>
      </c>
      <c r="AF38" s="25">
        <f t="shared" ca="1" si="6"/>
        <v>227.7345295423234</v>
      </c>
      <c r="AG38" s="25">
        <f ca="1">1+SUM(AD$8:AD37)</f>
        <v>134.68186519802768</v>
      </c>
      <c r="AH38" s="25">
        <f t="shared" ca="1" si="12"/>
        <v>3.5702055755518955</v>
      </c>
      <c r="AI38" s="25">
        <f t="shared" ca="1" si="13"/>
        <v>3.5702055755518955</v>
      </c>
      <c r="AK38" s="25">
        <f t="shared" ca="1" si="7"/>
        <v>28.983064718175712</v>
      </c>
      <c r="AL38" s="25">
        <f t="shared" ca="1" si="14"/>
        <v>28.983064718175712</v>
      </c>
      <c r="AM38">
        <f t="shared" ca="1" si="8"/>
        <v>9.4922337025464056</v>
      </c>
    </row>
    <row r="39" spans="7:39" ht="17.25" thickTop="1" thickBot="1" x14ac:dyDescent="0.3">
      <c r="G39">
        <f t="shared" si="9"/>
        <v>3.1000000000000021E-2</v>
      </c>
      <c r="H39" s="25">
        <f t="shared" si="0"/>
        <v>0.21764063045558452</v>
      </c>
      <c r="J39">
        <f t="shared" si="2"/>
        <v>1.6370573918994852E-2</v>
      </c>
      <c r="X39" s="1">
        <f t="shared" si="10"/>
        <v>31</v>
      </c>
      <c r="Y39" s="29" cm="1">
        <f t="array" ref="Y39">INDEX(J$8:J$1504,Z39) +(X39-INDEX(H$8:H$1504,Z39))*(INDEX(J$8:J$1504,Z39+1)-INDEX(J$8:J$1504,Z39))/(INDEX(H$8:H$1504,Z39+1)-INDEX(H$8:H$1504,Z39))</f>
        <v>2.2714665038448061</v>
      </c>
      <c r="Z39" s="1">
        <f t="shared" si="3"/>
        <v>600</v>
      </c>
      <c r="AA39" s="13"/>
      <c r="AB39" s="32">
        <f t="shared" si="11"/>
        <v>31</v>
      </c>
      <c r="AC39" s="25">
        <f t="shared" si="1"/>
        <v>186.83855673279902</v>
      </c>
      <c r="AD39" s="25">
        <f t="shared" ca="1" si="4"/>
        <v>28.353858036032648</v>
      </c>
      <c r="AE39" s="25">
        <f t="shared" ca="1" si="5"/>
        <v>9.2586252330626202</v>
      </c>
      <c r="AF39" s="25">
        <f t="shared" ca="1" si="6"/>
        <v>262.5177454670872</v>
      </c>
      <c r="AG39" s="25">
        <f ca="1">1+SUM(AD$8:AD38)</f>
        <v>158.67353424861489</v>
      </c>
      <c r="AH39" s="25">
        <f t="shared" ca="1" si="12"/>
        <v>4.3621889854454423</v>
      </c>
      <c r="AI39" s="25">
        <f t="shared" ca="1" si="13"/>
        <v>4.3621889854454423</v>
      </c>
      <c r="AK39" s="25">
        <f t="shared" ca="1" si="7"/>
        <v>34.783215924763795</v>
      </c>
      <c r="AL39" s="25">
        <f t="shared" ca="1" si="14"/>
        <v>34.783215924763795</v>
      </c>
      <c r="AM39">
        <f t="shared" ca="1" si="8"/>
        <v>9.2586252330626202</v>
      </c>
    </row>
    <row r="40" spans="7:39" ht="17.25" thickTop="1" thickBot="1" x14ac:dyDescent="0.3">
      <c r="G40">
        <f t="shared" si="9"/>
        <v>3.2000000000000021E-2</v>
      </c>
      <c r="H40" s="25">
        <f t="shared" si="0"/>
        <v>0.22873272057118363</v>
      </c>
      <c r="J40">
        <f t="shared" si="2"/>
        <v>1.7204486015855266E-2</v>
      </c>
      <c r="X40" s="1">
        <f t="shared" si="10"/>
        <v>32</v>
      </c>
      <c r="Y40" s="29" cm="1">
        <f t="array" ref="Y40">INDEX(J$8:J$1504,Z40) +(X40-INDEX(H$8:H$1504,Z40))*(INDEX(J$8:J$1504,Z40+1)-INDEX(J$8:J$1504,Z40))/(INDEX(H$8:H$1504,Z40+1)-INDEX(H$8:H$1504,Z40))</f>
        <v>2.342178191033915</v>
      </c>
      <c r="Z40" s="1">
        <f t="shared" si="3"/>
        <v>614</v>
      </c>
      <c r="AA40" s="13"/>
      <c r="AB40" s="32">
        <f t="shared" si="11"/>
        <v>32</v>
      </c>
      <c r="AC40" s="25">
        <f t="shared" ref="AC40:AC71" si="17">10^(Y40)</f>
        <v>219.87618397569449</v>
      </c>
      <c r="AD40" s="25">
        <f t="shared" ca="1" si="4"/>
        <v>33.261550954193723</v>
      </c>
      <c r="AE40" s="25">
        <f t="shared" ca="1" si="5"/>
        <v>9.0301169393219887</v>
      </c>
      <c r="AF40" s="25">
        <f t="shared" ca="1" si="6"/>
        <v>300.35569469958619</v>
      </c>
      <c r="AG40" s="25">
        <f ca="1">1+SUM(AD$8:AD39)</f>
        <v>187.02739228464753</v>
      </c>
      <c r="AH40" s="25">
        <f t="shared" ca="1" si="12"/>
        <v>4.9076929181610751</v>
      </c>
      <c r="AI40" s="25">
        <f t="shared" ca="1" si="13"/>
        <v>4.9076929181610751</v>
      </c>
      <c r="AK40" s="25">
        <f t="shared" ca="1" si="7"/>
        <v>37.837949232499</v>
      </c>
      <c r="AL40" s="25">
        <f t="shared" ca="1" si="14"/>
        <v>37.837949232499</v>
      </c>
      <c r="AM40">
        <f t="shared" ca="1" si="8"/>
        <v>9.0301169393219887</v>
      </c>
    </row>
    <row r="41" spans="7:39" ht="17.25" thickTop="1" thickBot="1" x14ac:dyDescent="0.3">
      <c r="G41">
        <f t="shared" si="9"/>
        <v>3.3000000000000022E-2</v>
      </c>
      <c r="H41" s="25">
        <f t="shared" si="0"/>
        <v>0.2400736239730123</v>
      </c>
      <c r="J41">
        <f t="shared" si="2"/>
        <v>1.8057068308376913E-2</v>
      </c>
      <c r="X41" s="1">
        <f t="shared" si="10"/>
        <v>33</v>
      </c>
      <c r="Y41" s="29" cm="1">
        <f t="array" ref="Y41">INDEX(J$8:J$1504,Z41) +(X41-INDEX(H$8:H$1504,Z41))*(INDEX(J$8:J$1504,Z41+1)-INDEX(J$8:J$1504,Z41))/(INDEX(H$8:H$1504,Z41+1)-INDEX(H$8:H$1504,Z41))</f>
        <v>2.4126197218443908</v>
      </c>
      <c r="Z41" s="1">
        <f t="shared" ref="Z41:Z72" si="18">MATCH(X41,H$8:H$1125,1)</f>
        <v>629</v>
      </c>
      <c r="AA41" s="13"/>
      <c r="AB41" s="32">
        <f t="shared" si="11"/>
        <v>33</v>
      </c>
      <c r="AC41" s="25">
        <f t="shared" si="17"/>
        <v>258.59476088031994</v>
      </c>
      <c r="AD41" s="25">
        <f t="shared" ref="AD41:AD72" ca="1" si="19">IF(AB41&gt;=A$3, AC41-AC40+OFFSET(AD41,-(A$3),0), AC41-AC40)</f>
        <v>38.984164831398765</v>
      </c>
      <c r="AE41" s="25">
        <f t="shared" ca="1" si="5"/>
        <v>8.8082139983275525</v>
      </c>
      <c r="AF41" s="25">
        <f t="shared" ca="1" si="6"/>
        <v>343.38086638103528</v>
      </c>
      <c r="AG41" s="25">
        <f ca="1">1+SUM(AD$8:AD40)</f>
        <v>220.28894323884126</v>
      </c>
      <c r="AH41" s="25">
        <f t="shared" ca="1" si="12"/>
        <v>5.7226138772050419</v>
      </c>
      <c r="AI41" s="25">
        <f t="shared" ca="1" si="13"/>
        <v>5.7226138772050419</v>
      </c>
      <c r="AK41" s="25">
        <f t="shared" ca="1" si="7"/>
        <v>43.025171681449081</v>
      </c>
      <c r="AL41" s="25">
        <f t="shared" ca="1" si="14"/>
        <v>43.025171681449081</v>
      </c>
      <c r="AM41">
        <f t="shared" ca="1" si="8"/>
        <v>8.8082139983275525</v>
      </c>
    </row>
    <row r="42" spans="7:39" ht="17.25" thickTop="1" thickBot="1" x14ac:dyDescent="0.3">
      <c r="G42">
        <f t="shared" si="9"/>
        <v>3.4000000000000023E-2</v>
      </c>
      <c r="H42" s="25">
        <f t="shared" si="0"/>
        <v>0.25166282695631287</v>
      </c>
      <c r="J42">
        <f t="shared" si="2"/>
        <v>1.8928280421919831E-2</v>
      </c>
      <c r="X42" s="1">
        <f t="shared" si="10"/>
        <v>34</v>
      </c>
      <c r="Y42" s="29" cm="1">
        <f t="array" ref="Y42">INDEX(J$8:J$1504,Z42) +(X42-INDEX(H$8:H$1504,Z42))*(INDEX(J$8:J$1504,Z42+1)-INDEX(J$8:J$1504,Z42))/(INDEX(H$8:H$1504,Z42+1)-INDEX(H$8:H$1504,Z42))</f>
        <v>2.4827686346259514</v>
      </c>
      <c r="Z42" s="1">
        <f t="shared" si="18"/>
        <v>644</v>
      </c>
      <c r="AA42" s="13"/>
      <c r="AB42" s="32">
        <f t="shared" si="11"/>
        <v>34</v>
      </c>
      <c r="AC42" s="25">
        <f t="shared" si="17"/>
        <v>303.92654607072319</v>
      </c>
      <c r="AD42" s="25">
        <f t="shared" ca="1" si="19"/>
        <v>45.646759797900003</v>
      </c>
      <c r="AE42" s="25">
        <f t="shared" ca="1" si="5"/>
        <v>8.5927344945647448</v>
      </c>
      <c r="AF42" s="25">
        <f t="shared" ca="1" si="6"/>
        <v>392.23048748052662</v>
      </c>
      <c r="AG42" s="25">
        <f ca="1">1+SUM(AD$8:AD41)</f>
        <v>259.27310807024003</v>
      </c>
      <c r="AH42" s="25">
        <f t="shared" ca="1" si="12"/>
        <v>6.6625949665012385</v>
      </c>
      <c r="AI42" s="25">
        <f t="shared" ca="1" si="13"/>
        <v>6.6625949665012385</v>
      </c>
      <c r="AK42" s="25">
        <f t="shared" ref="AK42:AK73" ca="1" si="20">(AF42-AF41)</f>
        <v>48.849621099491344</v>
      </c>
      <c r="AL42" s="25">
        <f t="shared" ca="1" si="14"/>
        <v>48.849621099491344</v>
      </c>
      <c r="AM42">
        <f t="shared" ca="1" si="8"/>
        <v>8.5927344945647448</v>
      </c>
    </row>
    <row r="43" spans="7:39" ht="17.25" thickTop="1" thickBot="1" x14ac:dyDescent="0.3">
      <c r="G43">
        <f t="shared" si="9"/>
        <v>3.5000000000000024E-2</v>
      </c>
      <c r="H43" s="25">
        <f t="shared" si="0"/>
        <v>0.26349981581632764</v>
      </c>
      <c r="J43">
        <f t="shared" si="2"/>
        <v>1.9818081981844038E-2</v>
      </c>
      <c r="X43" s="1">
        <f t="shared" si="10"/>
        <v>35</v>
      </c>
      <c r="Y43" s="29" cm="1">
        <f t="array" ref="Y43">INDEX(J$8:J$1504,Z43) +(X43-INDEX(H$8:H$1504,Z43))*(INDEX(J$8:J$1504,Z43+1)-INDEX(J$8:J$1504,Z43))/(INDEX(H$8:H$1504,Z43+1)-INDEX(H$8:H$1504,Z43))</f>
        <v>2.5525985113767833</v>
      </c>
      <c r="Z43" s="1">
        <f t="shared" si="18"/>
        <v>659</v>
      </c>
      <c r="AA43" s="13"/>
      <c r="AB43" s="32">
        <f t="shared" si="11"/>
        <v>35</v>
      </c>
      <c r="AC43" s="25">
        <f t="shared" si="17"/>
        <v>356.94270571079505</v>
      </c>
      <c r="AD43" s="25">
        <f t="shared" ca="1" si="19"/>
        <v>53.389642808346387</v>
      </c>
      <c r="AE43" s="25">
        <f t="shared" ca="1" si="5"/>
        <v>8.3835137523492644</v>
      </c>
      <c r="AF43" s="25">
        <f t="shared" ca="1" si="6"/>
        <v>447.59280471678693</v>
      </c>
      <c r="AG43" s="25">
        <f ca="1">1+SUM(AD$8:AD42)</f>
        <v>304.91986786814005</v>
      </c>
      <c r="AH43" s="25">
        <f t="shared" ca="1" si="12"/>
        <v>7.7428830104463842</v>
      </c>
      <c r="AI43" s="25">
        <f t="shared" ca="1" si="13"/>
        <v>7.7428830104463842</v>
      </c>
      <c r="AK43" s="25">
        <f t="shared" ca="1" si="20"/>
        <v>55.36231723626031</v>
      </c>
      <c r="AL43" s="25">
        <f t="shared" ca="1" si="14"/>
        <v>55.36231723626031</v>
      </c>
      <c r="AM43">
        <f t="shared" ca="1" si="8"/>
        <v>8.3835137523492644</v>
      </c>
    </row>
    <row r="44" spans="7:39" ht="17.25" thickTop="1" thickBot="1" x14ac:dyDescent="0.3">
      <c r="G44">
        <f t="shared" si="9"/>
        <v>3.6000000000000025E-2</v>
      </c>
      <c r="H44" s="25">
        <f t="shared" si="0"/>
        <v>0.275584076848299</v>
      </c>
      <c r="J44">
        <f t="shared" si="2"/>
        <v>2.0726432613509562E-2</v>
      </c>
      <c r="X44" s="1">
        <f t="shared" si="10"/>
        <v>36</v>
      </c>
      <c r="Y44" s="29" cm="1">
        <f t="array" ref="Y44">INDEX(J$8:J$1504,Z44) +(X44-INDEX(H$8:H$1504,Z44))*(INDEX(J$8:J$1504,Z44+1)-INDEX(J$8:J$1504,Z44))/(INDEX(H$8:H$1504,Z44+1)-INDEX(H$8:H$1504,Z44))</f>
        <v>2.6220786543567081</v>
      </c>
      <c r="Z44" s="1">
        <f t="shared" si="18"/>
        <v>674</v>
      </c>
      <c r="AA44" s="13"/>
      <c r="AB44" s="32">
        <f t="shared" si="11"/>
        <v>36</v>
      </c>
      <c r="AC44" s="25">
        <f t="shared" si="17"/>
        <v>418.86941899785393</v>
      </c>
      <c r="AD44" s="25">
        <f t="shared" ca="1" si="19"/>
        <v>62.369486872732423</v>
      </c>
      <c r="AE44" s="25">
        <f t="shared" ca="1" si="5"/>
        <v>8.1804054079590625</v>
      </c>
      <c r="AF44" s="25">
        <f t="shared" ca="1" si="6"/>
        <v>510.20768770533209</v>
      </c>
      <c r="AG44" s="25">
        <f ca="1">1+SUM(AD$8:AD43)</f>
        <v>358.30951067648641</v>
      </c>
      <c r="AH44" s="25">
        <f t="shared" ca="1" si="12"/>
        <v>8.979844064386036</v>
      </c>
      <c r="AI44" s="25">
        <f t="shared" ca="1" si="13"/>
        <v>8.979844064386036</v>
      </c>
      <c r="AK44" s="25">
        <f t="shared" ca="1" si="20"/>
        <v>62.614882988545162</v>
      </c>
      <c r="AL44" s="25">
        <f t="shared" ca="1" si="14"/>
        <v>62.614882988545162</v>
      </c>
      <c r="AM44">
        <f t="shared" ca="1" si="8"/>
        <v>8.1804054079590625</v>
      </c>
    </row>
    <row r="45" spans="7:39" ht="17.25" thickTop="1" thickBot="1" x14ac:dyDescent="0.3">
      <c r="G45">
        <f t="shared" si="9"/>
        <v>3.7000000000000026E-2</v>
      </c>
      <c r="H45" s="25">
        <f t="shared" si="0"/>
        <v>0.28791509634746904</v>
      </c>
      <c r="J45">
        <f t="shared" si="2"/>
        <v>2.1653291942276425E-2</v>
      </c>
      <c r="X45" s="1">
        <f t="shared" si="10"/>
        <v>37</v>
      </c>
      <c r="Y45" s="29" cm="1">
        <f t="array" ref="Y45">INDEX(J$8:J$1504,Z45) +(X45-INDEX(H$8:H$1504,Z45))*(INDEX(J$8:J$1504,Z45+1)-INDEX(J$8:J$1504,Z45))/(INDEX(H$8:H$1504,Z45+1)-INDEX(H$8:H$1504,Z45))</f>
        <v>2.6911731828183036</v>
      </c>
      <c r="Z45" s="1">
        <f t="shared" si="18"/>
        <v>689</v>
      </c>
      <c r="AA45" s="13"/>
      <c r="AB45" s="32">
        <f t="shared" si="11"/>
        <v>37</v>
      </c>
      <c r="AC45" s="25">
        <f t="shared" si="17"/>
        <v>491.10367362716329</v>
      </c>
      <c r="AD45" s="25">
        <f t="shared" ca="1" si="19"/>
        <v>72.759062079221195</v>
      </c>
      <c r="AE45" s="25">
        <f t="shared" ca="1" si="5"/>
        <v>7.9832798294582172</v>
      </c>
      <c r="AF45" s="25">
        <f t="shared" ca="1" si="6"/>
        <v>580.85595270734484</v>
      </c>
      <c r="AG45" s="25">
        <f ca="1">1+SUM(AD$8:AD44)</f>
        <v>420.67899754921882</v>
      </c>
      <c r="AH45" s="25">
        <f t="shared" ca="1" si="12"/>
        <v>10.389575206488772</v>
      </c>
      <c r="AI45" s="25">
        <f t="shared" ca="1" si="13"/>
        <v>10.389575206488772</v>
      </c>
      <c r="AK45" s="25">
        <f t="shared" ca="1" si="20"/>
        <v>70.648265002012749</v>
      </c>
      <c r="AL45" s="25">
        <f t="shared" ca="1" si="14"/>
        <v>70.648265002012749</v>
      </c>
      <c r="AM45">
        <f t="shared" ca="1" si="8"/>
        <v>7.9832798294582172</v>
      </c>
    </row>
    <row r="46" spans="7:39" ht="17.25" thickTop="1" thickBot="1" x14ac:dyDescent="0.3">
      <c r="G46">
        <f t="shared" si="9"/>
        <v>3.8000000000000027E-2</v>
      </c>
      <c r="H46" s="25">
        <f t="shared" si="0"/>
        <v>0.30049236060908013</v>
      </c>
      <c r="J46">
        <f t="shared" si="2"/>
        <v>2.2598619593504659E-2</v>
      </c>
      <c r="X46" s="1">
        <f t="shared" si="10"/>
        <v>38</v>
      </c>
      <c r="Y46" s="29" cm="1">
        <f t="array" ref="Y46">INDEX(J$8:J$1504,Z46) +(X46-INDEX(H$8:H$1504,Z46))*(INDEX(J$8:J$1504,Z46+1)-INDEX(J$8:J$1504,Z46))/(INDEX(H$8:H$1504,Z46+1)-INDEX(H$8:H$1504,Z46))</f>
        <v>2.7598388305785848</v>
      </c>
      <c r="Z46" s="1">
        <f t="shared" si="18"/>
        <v>705</v>
      </c>
      <c r="AA46" s="13"/>
      <c r="AB46" s="32">
        <f t="shared" si="11"/>
        <v>38</v>
      </c>
      <c r="AC46" s="25">
        <f t="shared" si="17"/>
        <v>575.22642756685968</v>
      </c>
      <c r="AD46" s="25">
        <f t="shared" ca="1" si="19"/>
        <v>84.744653709958556</v>
      </c>
      <c r="AE46" s="25">
        <f t="shared" ca="1" si="5"/>
        <v>7.7920243739276183</v>
      </c>
      <c r="AF46" s="25">
        <f t="shared" ca="1" si="6"/>
        <v>660.33240726805263</v>
      </c>
      <c r="AG46" s="25">
        <f ca="1">1+SUM(AD$8:AD45)</f>
        <v>493.43805962843999</v>
      </c>
      <c r="AH46" s="25">
        <f t="shared" ca="1" si="12"/>
        <v>11.98559163073736</v>
      </c>
      <c r="AI46" s="25">
        <f t="shared" ca="1" si="13"/>
        <v>11.98559163073736</v>
      </c>
      <c r="AK46" s="25">
        <f t="shared" ca="1" si="20"/>
        <v>79.476454560707793</v>
      </c>
      <c r="AL46" s="25">
        <f t="shared" ca="1" si="14"/>
        <v>79.476454560707793</v>
      </c>
      <c r="AM46">
        <f t="shared" ca="1" si="8"/>
        <v>7.7920243739276183</v>
      </c>
    </row>
    <row r="47" spans="7:39" ht="17.25" thickTop="1" thickBot="1" x14ac:dyDescent="0.3">
      <c r="G47">
        <f t="shared" si="9"/>
        <v>3.9000000000000028E-2</v>
      </c>
      <c r="H47" s="25">
        <f t="shared" si="0"/>
        <v>0.31331535592837456</v>
      </c>
      <c r="J47">
        <f t="shared" si="2"/>
        <v>2.3562375192554275E-2</v>
      </c>
      <c r="X47" s="1">
        <f t="shared" si="10"/>
        <v>39</v>
      </c>
      <c r="Y47" s="29" cm="1">
        <f t="array" ref="Y47">INDEX(J$8:J$1504,Z47) +(X47-INDEX(H$8:H$1504,Z47))*(INDEX(J$8:J$1504,Z47+1)-INDEX(J$8:J$1504,Z47))/(INDEX(H$8:H$1504,Z47+1)-INDEX(H$8:H$1504,Z47))</f>
        <v>2.8280235668163245</v>
      </c>
      <c r="Z47" s="1">
        <f t="shared" si="18"/>
        <v>721</v>
      </c>
      <c r="AA47" s="13"/>
      <c r="AB47" s="32">
        <f t="shared" si="11"/>
        <v>39</v>
      </c>
      <c r="AC47" s="25">
        <f t="shared" si="17"/>
        <v>673.01317608420959</v>
      </c>
      <c r="AD47" s="25">
        <f t="shared" ca="1" si="19"/>
        <v>98.523529931743525</v>
      </c>
      <c r="AE47" s="25">
        <f t="shared" ca="1" si="5"/>
        <v>7.6065470466156304</v>
      </c>
      <c r="AF47" s="25">
        <f t="shared" ca="1" si="6"/>
        <v>749.4238656244504</v>
      </c>
      <c r="AG47" s="25">
        <f ca="1">1+SUM(AD$8:AD46)</f>
        <v>578.18271333839857</v>
      </c>
      <c r="AH47" s="25">
        <f t="shared" ca="1" si="12"/>
        <v>13.778876221784969</v>
      </c>
      <c r="AI47" s="25">
        <f t="shared" ca="1" si="13"/>
        <v>13.778876221784969</v>
      </c>
      <c r="AK47" s="25">
        <f t="shared" ca="1" si="20"/>
        <v>89.091458356397766</v>
      </c>
      <c r="AL47" s="25">
        <f t="shared" ca="1" si="14"/>
        <v>89.091458356397766</v>
      </c>
      <c r="AM47">
        <f t="shared" ca="1" si="8"/>
        <v>7.6065470466156304</v>
      </c>
    </row>
    <row r="48" spans="7:39" ht="17.25" thickTop="1" thickBot="1" x14ac:dyDescent="0.3">
      <c r="G48">
        <f t="shared" si="9"/>
        <v>4.0000000000000029E-2</v>
      </c>
      <c r="H48" s="25">
        <f t="shared" si="0"/>
        <v>0.32638356860059459</v>
      </c>
      <c r="J48">
        <f t="shared" si="2"/>
        <v>2.4544518364785314E-2</v>
      </c>
      <c r="X48" s="1">
        <f t="shared" si="10"/>
        <v>40</v>
      </c>
      <c r="Y48" s="29" cm="1">
        <f t="array" ref="Y48">INDEX(J$8:J$1504,Z48) +(X48-INDEX(H$8:H$1504,Z48))*(INDEX(J$8:J$1504,Z48+1)-INDEX(J$8:J$1504,Z48))/(INDEX(H$8:H$1504,Z48+1)-INDEX(H$8:H$1504,Z48))</f>
        <v>2.8956629520400483</v>
      </c>
      <c r="Z48" s="1">
        <f t="shared" si="18"/>
        <v>738</v>
      </c>
      <c r="AA48" s="13"/>
      <c r="AB48" s="32">
        <f t="shared" si="11"/>
        <v>40</v>
      </c>
      <c r="AC48" s="25">
        <f t="shared" si="17"/>
        <v>786.43521489148191</v>
      </c>
      <c r="AD48" s="25">
        <f t="shared" ca="1" si="19"/>
        <v>114.29471019543648</v>
      </c>
      <c r="AE48" s="25">
        <f t="shared" ca="1" si="5"/>
        <v>7.4267774846623125</v>
      </c>
      <c r="AF48" s="25">
        <f t="shared" ca="1" si="6"/>
        <v>848.84138029547171</v>
      </c>
      <c r="AG48" s="25">
        <f ca="1">1+SUM(AD$8:AD47)</f>
        <v>676.70624327014207</v>
      </c>
      <c r="AH48" s="25">
        <f t="shared" ca="1" si="12"/>
        <v>15.771180263692955</v>
      </c>
      <c r="AI48" s="25">
        <f t="shared" ca="1" si="13"/>
        <v>15.771180263692955</v>
      </c>
      <c r="AK48" s="25">
        <f t="shared" ca="1" si="20"/>
        <v>99.417514671021308</v>
      </c>
      <c r="AL48" s="25">
        <f t="shared" ca="1" si="14"/>
        <v>99.417514671021308</v>
      </c>
      <c r="AM48">
        <f t="shared" ca="1" si="8"/>
        <v>7.4267774846623125</v>
      </c>
    </row>
    <row r="49" spans="7:39" ht="17.25" thickTop="1" thickBot="1" x14ac:dyDescent="0.3">
      <c r="G49">
        <f t="shared" si="9"/>
        <v>4.1000000000000029E-2</v>
      </c>
      <c r="H49" s="25">
        <f t="shared" si="0"/>
        <v>0.33969648492098264</v>
      </c>
      <c r="J49">
        <f t="shared" si="2"/>
        <v>2.55450087355578E-2</v>
      </c>
      <c r="X49" s="1">
        <f t="shared" si="10"/>
        <v>41</v>
      </c>
      <c r="Y49" s="29" cm="1">
        <f t="array" ref="Y49">INDEX(J$8:J$1504,Z49) +(X49-INDEX(H$8:H$1504,Z49))*(INDEX(J$8:J$1504,Z49+1)-INDEX(J$8:J$1504,Z49))/(INDEX(H$8:H$1504,Z49+1)-INDEX(H$8:H$1504,Z49))</f>
        <v>2.9626771451454137</v>
      </c>
      <c r="Z49" s="1">
        <f t="shared" si="18"/>
        <v>755</v>
      </c>
      <c r="AA49" s="13"/>
      <c r="AB49" s="32">
        <f t="shared" si="11"/>
        <v>41</v>
      </c>
      <c r="AC49" s="25">
        <f t="shared" si="17"/>
        <v>917.6501610122649</v>
      </c>
      <c r="AD49" s="25">
        <f t="shared" ca="1" si="19"/>
        <v>132.24830862842234</v>
      </c>
      <c r="AE49" s="25">
        <f t="shared" ca="1" si="5"/>
        <v>7.2526734727076025</v>
      </c>
      <c r="AF49" s="25">
        <f t="shared" ca="1" si="6"/>
        <v>959.15379979980662</v>
      </c>
      <c r="AG49" s="25">
        <f ca="1">1+SUM(AD$8:AD48)</f>
        <v>791.0009534655785</v>
      </c>
      <c r="AH49" s="25">
        <f t="shared" ca="1" si="12"/>
        <v>17.953598432985856</v>
      </c>
      <c r="AI49" s="25">
        <f t="shared" ca="1" si="13"/>
        <v>17.953598432985856</v>
      </c>
      <c r="AK49" s="25">
        <f t="shared" ca="1" si="20"/>
        <v>110.31241950433491</v>
      </c>
      <c r="AL49" s="25">
        <f t="shared" ca="1" si="14"/>
        <v>110.31241950433491</v>
      </c>
      <c r="AM49">
        <f t="shared" ca="1" si="8"/>
        <v>7.2526734727076025</v>
      </c>
    </row>
    <row r="50" spans="7:39" ht="17.25" thickTop="1" thickBot="1" x14ac:dyDescent="0.3">
      <c r="G50">
        <f t="shared" si="9"/>
        <v>4.200000000000003E-2</v>
      </c>
      <c r="H50" s="25">
        <f t="shared" si="0"/>
        <v>0.35325359118478072</v>
      </c>
      <c r="J50">
        <f t="shared" si="2"/>
        <v>2.6563805930231742E-2</v>
      </c>
      <c r="X50" s="1">
        <f t="shared" si="10"/>
        <v>42</v>
      </c>
      <c r="Y50" s="29" cm="1">
        <f t="array" ref="Y50">INDEX(J$8:J$1504,Z50) +(X50-INDEX(H$8:H$1504,Z50))*(INDEX(J$8:J$1504,Z50+1)-INDEX(J$8:J$1504,Z50))/(INDEX(H$8:H$1504,Z50+1)-INDEX(H$8:H$1504,Z50))</f>
        <v>3.0289631726281194</v>
      </c>
      <c r="Z50" s="1">
        <f t="shared" si="18"/>
        <v>773</v>
      </c>
      <c r="AA50" s="13"/>
      <c r="AB50" s="32">
        <f t="shared" si="11"/>
        <v>42</v>
      </c>
      <c r="AC50" s="25">
        <f t="shared" si="17"/>
        <v>1068.9642291821597</v>
      </c>
      <c r="AD50" s="25">
        <f t="shared" ca="1" si="19"/>
        <v>152.53738831859138</v>
      </c>
      <c r="AE50" s="25">
        <f t="shared" ca="1" si="5"/>
        <v>7.0842248867128035</v>
      </c>
      <c r="AF50" s="25">
        <f t="shared" ca="1" si="6"/>
        <v>1080.60916248074</v>
      </c>
      <c r="AG50" s="25">
        <f ca="1">1+SUM(AD$8:AD49)</f>
        <v>923.24926209400087</v>
      </c>
      <c r="AH50" s="25">
        <f t="shared" ca="1" si="12"/>
        <v>20.289079690169046</v>
      </c>
      <c r="AI50" s="25">
        <f t="shared" ca="1" si="13"/>
        <v>20.289079690169046</v>
      </c>
      <c r="AK50" s="25">
        <f t="shared" ca="1" si="20"/>
        <v>121.45536268093338</v>
      </c>
      <c r="AL50" s="25">
        <f t="shared" ca="1" si="14"/>
        <v>121.45536268093338</v>
      </c>
      <c r="AM50">
        <f t="shared" ca="1" si="8"/>
        <v>7.0842248867128035</v>
      </c>
    </row>
    <row r="51" spans="7:39" ht="17.25" thickTop="1" thickBot="1" x14ac:dyDescent="0.3">
      <c r="G51">
        <f t="shared" si="9"/>
        <v>4.3000000000000031E-2</v>
      </c>
      <c r="H51" s="25">
        <f t="shared" si="0"/>
        <v>0.36705437368723143</v>
      </c>
      <c r="J51">
        <f t="shared" si="2"/>
        <v>2.760086957416719E-2</v>
      </c>
      <c r="X51" s="1">
        <f t="shared" si="10"/>
        <v>43</v>
      </c>
      <c r="Y51" s="29" cm="1">
        <f t="array" ref="Y51">INDEX(J$8:J$1504,Z51) +(X51-INDEX(H$8:H$1504,Z51))*(INDEX(J$8:J$1504,Z51+1)-INDEX(J$8:J$1504,Z51))/(INDEX(H$8:H$1504,Z51+1)-INDEX(H$8:H$1504,Z51))</f>
        <v>3.094386217625583</v>
      </c>
      <c r="Z51" s="1">
        <f t="shared" si="18"/>
        <v>792</v>
      </c>
      <c r="AA51" s="13"/>
      <c r="AB51" s="32">
        <f t="shared" si="11"/>
        <v>43</v>
      </c>
      <c r="AC51" s="25">
        <f t="shared" si="17"/>
        <v>1242.756998810054</v>
      </c>
      <c r="AD51" s="25">
        <f t="shared" ca="1" si="19"/>
        <v>175.24057390627047</v>
      </c>
      <c r="AE51" s="25">
        <f t="shared" ca="1" si="5"/>
        <v>6.9214684287999608</v>
      </c>
      <c r="AF51" s="25">
        <f t="shared" ca="1" si="6"/>
        <v>1212.9220997370373</v>
      </c>
      <c r="AG51" s="25">
        <f ca="1">1+SUM(AD$8:AD50)</f>
        <v>1075.7866504125923</v>
      </c>
      <c r="AH51" s="25">
        <f t="shared" ca="1" si="12"/>
        <v>22.703185587679087</v>
      </c>
      <c r="AI51" s="25">
        <f t="shared" ca="1" si="13"/>
        <v>22.703185587679087</v>
      </c>
      <c r="AK51" s="25">
        <f t="shared" ca="1" si="20"/>
        <v>132.31293725629735</v>
      </c>
      <c r="AL51" s="25">
        <f t="shared" ca="1" si="14"/>
        <v>132.31293725629735</v>
      </c>
      <c r="AM51">
        <f t="shared" ca="1" si="8"/>
        <v>6.9214684287999608</v>
      </c>
    </row>
    <row r="52" spans="7:39" ht="17.25" thickTop="1" thickBot="1" x14ac:dyDescent="0.3">
      <c r="G52">
        <f t="shared" si="9"/>
        <v>4.4000000000000032E-2</v>
      </c>
      <c r="H52" s="25">
        <f t="shared" si="0"/>
        <v>0.3810983187235768</v>
      </c>
      <c r="J52">
        <f t="shared" si="2"/>
        <v>2.8656159292724147E-2</v>
      </c>
      <c r="X52" s="1">
        <f t="shared" si="10"/>
        <v>44</v>
      </c>
      <c r="Y52" s="29" cm="1">
        <f t="array" ref="Y52">INDEX(J$8:J$1504,Z52) +(X52-INDEX(H$8:H$1504,Z52))*(INDEX(J$8:J$1504,Z52+1)-INDEX(J$8:J$1504,Z52))/(INDEX(H$8:H$1504,Z52+1)-INDEX(H$8:H$1504,Z52))</f>
        <v>3.1587630360984291</v>
      </c>
      <c r="Z52" s="1">
        <f t="shared" si="18"/>
        <v>812</v>
      </c>
      <c r="AA52" s="13"/>
      <c r="AB52" s="32">
        <f t="shared" si="11"/>
        <v>44</v>
      </c>
      <c r="AC52" s="25">
        <f t="shared" si="17"/>
        <v>1441.3287054066118</v>
      </c>
      <c r="AD52" s="25">
        <f t="shared" ca="1" si="19"/>
        <v>200.2847036675214</v>
      </c>
      <c r="AE52" s="25">
        <f t="shared" ca="1" si="5"/>
        <v>6.7645025808064094</v>
      </c>
      <c r="AF52" s="25">
        <f t="shared" ca="1" si="6"/>
        <v>1354.8263948549954</v>
      </c>
      <c r="AG52" s="25">
        <f ca="1">1+SUM(AD$8:AD51)</f>
        <v>1251.0272243188629</v>
      </c>
      <c r="AH52" s="25">
        <f t="shared" ca="1" si="12"/>
        <v>25.044129761250929</v>
      </c>
      <c r="AI52" s="25">
        <f t="shared" ca="1" si="13"/>
        <v>25.044129761250929</v>
      </c>
      <c r="AK52" s="25">
        <f t="shared" ca="1" si="20"/>
        <v>141.9042951179581</v>
      </c>
      <c r="AL52" s="25">
        <f t="shared" ca="1" si="14"/>
        <v>141.9042951179581</v>
      </c>
      <c r="AM52">
        <f t="shared" ca="1" si="8"/>
        <v>6.7645025808064094</v>
      </c>
    </row>
    <row r="53" spans="7:39" ht="17.25" thickTop="1" thickBot="1" x14ac:dyDescent="0.3">
      <c r="G53">
        <f t="shared" si="9"/>
        <v>4.5000000000000033E-2</v>
      </c>
      <c r="H53" s="25">
        <f t="shared" si="0"/>
        <v>0.39538491258905928</v>
      </c>
      <c r="J53">
        <f t="shared" si="2"/>
        <v>2.9729634711262644E-2</v>
      </c>
      <c r="X53" s="1">
        <f t="shared" si="10"/>
        <v>45</v>
      </c>
      <c r="Y53" s="29" cm="1">
        <f t="array" ref="Y53">INDEX(J$8:J$1504,Z53) +(X53-INDEX(H$8:H$1504,Z53))*(INDEX(J$8:J$1504,Z53+1)-INDEX(J$8:J$1504,Z53))/(INDEX(H$8:H$1504,Z53+1)-INDEX(H$8:H$1504,Z53))</f>
        <v>3.2218327142289032</v>
      </c>
      <c r="Z53" s="1">
        <f t="shared" si="18"/>
        <v>833</v>
      </c>
      <c r="AA53" s="13"/>
      <c r="AB53" s="32">
        <f t="shared" si="11"/>
        <v>45</v>
      </c>
      <c r="AC53" s="25">
        <f t="shared" si="17"/>
        <v>1666.605129729217</v>
      </c>
      <c r="AD53" s="25">
        <f t="shared" ca="1" si="19"/>
        <v>227.30259376728387</v>
      </c>
      <c r="AE53" s="25">
        <f t="shared" ca="1" si="5"/>
        <v>6.6135185909075034</v>
      </c>
      <c r="AF53" s="25">
        <f t="shared" ca="1" si="6"/>
        <v>1503.2699296414278</v>
      </c>
      <c r="AG53" s="25">
        <f ca="1">1+SUM(AD$8:AD52)</f>
        <v>1451.3119279863843</v>
      </c>
      <c r="AH53" s="25">
        <f t="shared" ca="1" si="12"/>
        <v>27.017890099762468</v>
      </c>
      <c r="AI53" s="25">
        <f t="shared" ca="1" si="13"/>
        <v>27.017890099762468</v>
      </c>
      <c r="AK53" s="25">
        <f t="shared" ca="1" si="20"/>
        <v>148.44353478643234</v>
      </c>
      <c r="AL53" s="25">
        <f t="shared" ca="1" si="14"/>
        <v>148.44353478643234</v>
      </c>
      <c r="AM53">
        <f t="shared" ca="1" si="8"/>
        <v>6.6135185909075034</v>
      </c>
    </row>
    <row r="54" spans="7:39" ht="17.25" thickTop="1" thickBot="1" x14ac:dyDescent="0.3">
      <c r="G54">
        <f t="shared" si="9"/>
        <v>4.6000000000000034E-2</v>
      </c>
      <c r="H54" s="25">
        <f t="shared" si="0"/>
        <v>0.40991364157892113</v>
      </c>
      <c r="J54">
        <f t="shared" si="2"/>
        <v>3.0821255455142714E-2</v>
      </c>
      <c r="X54" s="1">
        <f t="shared" si="10"/>
        <v>46</v>
      </c>
      <c r="Y54" s="29" cm="1">
        <f t="array" ref="Y54">INDEX(J$8:J$1504,Z54) +(X54-INDEX(H$8:H$1504,Z54))*(INDEX(J$8:J$1504,Z54+1)-INDEX(J$8:J$1504,Z54))/(INDEX(H$8:H$1504,Z54+1)-INDEX(H$8:H$1504,Z54))</f>
        <v>3.2832030295494365</v>
      </c>
      <c r="Z54" s="1">
        <f t="shared" si="18"/>
        <v>856</v>
      </c>
      <c r="AA54" s="13"/>
      <c r="AB54" s="32">
        <f t="shared" si="11"/>
        <v>46</v>
      </c>
      <c r="AC54" s="25">
        <f t="shared" si="17"/>
        <v>1919.5659142136954</v>
      </c>
      <c r="AD54" s="25">
        <f t="shared" ca="1" si="19"/>
        <v>255.35664809516257</v>
      </c>
      <c r="AE54" s="25">
        <f t="shared" ca="1" si="5"/>
        <v>6.4688558136077825</v>
      </c>
      <c r="AF54" s="25">
        <f t="shared" ca="1" si="6"/>
        <v>1651.865337573789</v>
      </c>
      <c r="AG54" s="25">
        <f ca="1">1+SUM(AD$8:AD53)</f>
        <v>1678.6145217536682</v>
      </c>
      <c r="AH54" s="25">
        <f t="shared" ca="1" si="12"/>
        <v>28.054054327878703</v>
      </c>
      <c r="AI54" s="25">
        <f t="shared" ca="1" si="13"/>
        <v>28.054054327878703</v>
      </c>
      <c r="AK54" s="25">
        <f t="shared" ca="1" si="20"/>
        <v>148.59540793236124</v>
      </c>
      <c r="AL54" s="25">
        <f t="shared" ca="1" si="14"/>
        <v>148.59540793236124</v>
      </c>
      <c r="AM54">
        <f t="shared" ca="1" si="8"/>
        <v>6.4688558136077825</v>
      </c>
    </row>
    <row r="55" spans="7:39" ht="17.25" thickTop="1" thickBot="1" x14ac:dyDescent="0.3">
      <c r="G55">
        <f t="shared" si="9"/>
        <v>4.7000000000000035E-2</v>
      </c>
      <c r="H55" s="25">
        <f t="shared" si="0"/>
        <v>0.42468399198840445</v>
      </c>
      <c r="J55">
        <f t="shared" si="2"/>
        <v>3.1930981149724376E-2</v>
      </c>
      <c r="X55" s="1">
        <f t="shared" si="10"/>
        <v>47</v>
      </c>
      <c r="Y55" s="29" cm="1">
        <f t="array" ref="Y55">INDEX(J$8:J$1504,Z55) +(X55-INDEX(H$8:H$1504,Z55))*(INDEX(J$8:J$1504,Z55+1)-INDEX(J$8:J$1504,Z55))/(INDEX(H$8:H$1504,Z55+1)-INDEX(H$8:H$1504,Z55))</f>
        <v>3.342229874161216</v>
      </c>
      <c r="Z55" s="1">
        <f t="shared" si="18"/>
        <v>881</v>
      </c>
      <c r="AA55" s="13"/>
      <c r="AB55" s="32">
        <f t="shared" si="11"/>
        <v>47</v>
      </c>
      <c r="AC55" s="25">
        <f t="shared" si="17"/>
        <v>2199.0235185368024</v>
      </c>
      <c r="AD55" s="25">
        <f t="shared" ca="1" si="19"/>
        <v>282.28971479616456</v>
      </c>
      <c r="AE55" s="25">
        <f t="shared" ca="1" si="5"/>
        <v>6.3311037406033073</v>
      </c>
      <c r="AF55" s="25">
        <f t="shared" ca="1" si="6"/>
        <v>1787.2054692798383</v>
      </c>
      <c r="AG55" s="25">
        <f ca="1">1+SUM(AD$8:AD54)</f>
        <v>1933.9711698488309</v>
      </c>
      <c r="AH55" s="25">
        <f t="shared" ca="1" si="12"/>
        <v>26.933066701001991</v>
      </c>
      <c r="AI55" s="25">
        <f t="shared" ca="1" si="13"/>
        <v>26.933066701001991</v>
      </c>
      <c r="AK55" s="25">
        <f t="shared" ca="1" si="20"/>
        <v>135.34013170604931</v>
      </c>
      <c r="AL55" s="25">
        <f t="shared" ca="1" si="14"/>
        <v>135.34013170604931</v>
      </c>
      <c r="AM55">
        <f t="shared" ca="1" si="8"/>
        <v>6.3311037406033073</v>
      </c>
    </row>
    <row r="56" spans="7:39" ht="17.25" thickTop="1" thickBot="1" x14ac:dyDescent="0.3">
      <c r="G56">
        <f t="shared" si="9"/>
        <v>4.8000000000000036E-2</v>
      </c>
      <c r="H56" s="25">
        <f t="shared" si="0"/>
        <v>0.4396954501127518</v>
      </c>
      <c r="J56">
        <f t="shared" si="2"/>
        <v>3.3058771420367658E-2</v>
      </c>
      <c r="X56" s="1">
        <f t="shared" si="10"/>
        <v>48</v>
      </c>
      <c r="Y56" s="29" cm="1">
        <f t="array" ref="Y56">INDEX(J$8:J$1504,Z56) +(X56-INDEX(H$8:H$1504,Z56))*(INDEX(J$8:J$1504,Z56+1)-INDEX(J$8:J$1504,Z56))/(INDEX(H$8:H$1504,Z56+1)-INDEX(H$8:H$1504,Z56))</f>
        <v>3.3977157114487948</v>
      </c>
      <c r="Z56" s="1">
        <f t="shared" si="18"/>
        <v>910</v>
      </c>
      <c r="AA56" s="13"/>
      <c r="AB56" s="32">
        <f t="shared" si="11"/>
        <v>48</v>
      </c>
      <c r="AC56" s="25">
        <f t="shared" si="17"/>
        <v>2498.7091747541212</v>
      </c>
      <c r="AD56" s="25">
        <f t="shared" ca="1" si="19"/>
        <v>303.03232906778749</v>
      </c>
      <c r="AE56" s="25">
        <f t="shared" ca="1" si="5"/>
        <v>6.2013361328120542</v>
      </c>
      <c r="AF56" s="25">
        <f t="shared" ca="1" si="6"/>
        <v>1879.205331658263</v>
      </c>
      <c r="AG56" s="25">
        <f ca="1">1+SUM(AD$8:AD55)</f>
        <v>2216.2608846449953</v>
      </c>
      <c r="AH56" s="25">
        <f t="shared" ca="1" si="12"/>
        <v>20.742614271622926</v>
      </c>
      <c r="AI56" s="25">
        <f t="shared" ca="1" si="13"/>
        <v>20.742614271622926</v>
      </c>
      <c r="AK56" s="25">
        <f t="shared" ca="1" si="20"/>
        <v>91.999862378424723</v>
      </c>
      <c r="AL56" s="25">
        <f t="shared" ca="1" si="14"/>
        <v>91.999862378424723</v>
      </c>
      <c r="AM56">
        <f t="shared" ca="1" si="8"/>
        <v>6.2013361328120542</v>
      </c>
    </row>
    <row r="57" spans="7:39" ht="17.25" thickTop="1" thickBot="1" x14ac:dyDescent="0.3">
      <c r="G57">
        <f t="shared" si="9"/>
        <v>4.9000000000000037E-2</v>
      </c>
      <c r="H57" s="25">
        <f t="shared" si="0"/>
        <v>0.45494750224720532</v>
      </c>
      <c r="J57">
        <f t="shared" si="2"/>
        <v>3.4204585892432582E-2</v>
      </c>
      <c r="X57" s="1">
        <f t="shared" si="10"/>
        <v>49</v>
      </c>
      <c r="Y57" s="29" cm="1">
        <f t="array" ref="Y57">INDEX(J$8:J$1504,Z57) +(X57-INDEX(H$8:H$1504,Z57))*(INDEX(J$8:J$1504,Z57+1)-INDEX(J$8:J$1504,Z57))/(INDEX(H$8:H$1504,Z57+1)-INDEX(H$8:H$1504,Z57))</f>
        <v>3.4468421488875371</v>
      </c>
      <c r="Z57" s="1">
        <f t="shared" si="18"/>
        <v>945</v>
      </c>
      <c r="AA57" s="13"/>
      <c r="AB57" s="32">
        <f t="shared" si="11"/>
        <v>49</v>
      </c>
      <c r="AC57" s="25">
        <f t="shared" si="17"/>
        <v>2797.9641710184123</v>
      </c>
      <c r="AD57" s="25">
        <f t="shared" ca="1" si="19"/>
        <v>303.2083548878814</v>
      </c>
      <c r="AE57" s="25">
        <f t="shared" ca="1" si="5"/>
        <v>6.08170162049253</v>
      </c>
      <c r="AF57" s="25">
        <f t="shared" ca="1" si="6"/>
        <v>1844.0227432685024</v>
      </c>
      <c r="AG57" s="25">
        <f ca="1">1+SUM(AD$8:AD56)</f>
        <v>2519.2932137127827</v>
      </c>
      <c r="AH57" s="25">
        <f t="shared" ca="1" si="12"/>
        <v>0.17602582009391199</v>
      </c>
      <c r="AI57" s="25">
        <f t="shared" ca="1" si="13"/>
        <v>0.17602582009391199</v>
      </c>
      <c r="AK57" s="25">
        <f t="shared" ca="1" si="20"/>
        <v>-35.182588389760667</v>
      </c>
      <c r="AL57" s="25">
        <f t="shared" ca="1" si="14"/>
        <v>35.182588389760667</v>
      </c>
      <c r="AM57">
        <f t="shared" ca="1" si="8"/>
        <v>6.08170162049253</v>
      </c>
    </row>
    <row r="58" spans="7:39" ht="17.25" thickTop="1" thickBot="1" x14ac:dyDescent="0.3">
      <c r="G58">
        <f t="shared" si="9"/>
        <v>5.0000000000000037E-2</v>
      </c>
      <c r="H58" s="25">
        <f t="shared" si="0"/>
        <v>0.47043963468700734</v>
      </c>
      <c r="J58">
        <f t="shared" si="2"/>
        <v>3.5368384191279176E-2</v>
      </c>
      <c r="X58" s="1">
        <f t="shared" si="10"/>
        <v>50</v>
      </c>
      <c r="Y58" s="29" cm="1">
        <f t="array" ref="Y58">INDEX(J$8:J$1504,Z58) +(X58-INDEX(H$8:H$1504,Z58))*(INDEX(J$8:J$1504,Z58+1)-INDEX(J$8:J$1504,Z58))/(INDEX(H$8:H$1504,Z58+1)-INDEX(H$8:H$1504,Z58))</f>
        <v>3.4771212547196626</v>
      </c>
      <c r="Z58" s="1">
        <f t="shared" si="18"/>
        <v>1000</v>
      </c>
      <c r="AA58" s="13"/>
      <c r="AB58" s="32">
        <f t="shared" si="11"/>
        <v>50</v>
      </c>
      <c r="AC58" s="25">
        <f t="shared" si="17"/>
        <v>3000.0000000000027</v>
      </c>
      <c r="AD58" s="25">
        <f t="shared" ca="1" si="19"/>
        <v>206.70413201754289</v>
      </c>
      <c r="AE58" s="25">
        <f t="shared" ca="1" si="5"/>
        <v>5.9775459620192564</v>
      </c>
      <c r="AF58" s="25">
        <f t="shared" ca="1" si="6"/>
        <v>1235.5834496741588</v>
      </c>
      <c r="AG58" s="25">
        <f ca="1">1+SUM(AD$8:AD57)</f>
        <v>2822.5015686006641</v>
      </c>
      <c r="AH58" s="25">
        <f t="shared" ca="1" si="12"/>
        <v>-96.504222870338509</v>
      </c>
      <c r="AI58" s="25">
        <f t="shared" ca="1" si="13"/>
        <v>96.504222870338509</v>
      </c>
      <c r="AK58" s="25">
        <f t="shared" ca="1" si="20"/>
        <v>-608.43929359434355</v>
      </c>
      <c r="AL58" s="25">
        <f t="shared" ca="1" si="14"/>
        <v>608.43929359434355</v>
      </c>
      <c r="AM58">
        <f t="shared" ca="1" si="8"/>
        <v>5.9775459620192564</v>
      </c>
    </row>
    <row r="59" spans="7:39" ht="17.25" thickTop="1" thickBot="1" x14ac:dyDescent="0.3">
      <c r="G59">
        <f t="shared" si="9"/>
        <v>5.1000000000000038E-2</v>
      </c>
      <c r="H59" s="25">
        <f t="shared" si="0"/>
        <v>0.48617133372740007</v>
      </c>
      <c r="J59">
        <f t="shared" si="2"/>
        <v>3.6550125942267461E-2</v>
      </c>
      <c r="X59" s="1">
        <f t="shared" si="10"/>
        <v>51</v>
      </c>
      <c r="Y59" s="29" cm="1">
        <f t="array" ref="Y59">INDEX(J$8:J$1504,Z59) +(X59-INDEX(H$8:H$1504,Z59))*(INDEX(J$8:J$1504,Z59+1)-INDEX(J$8:J$1504,Z59))/(INDEX(H$8:H$1504,Z59+1)-INDEX(H$8:H$1504,Z59))</f>
        <v>3.4771212547196626</v>
      </c>
      <c r="Z59" s="1">
        <f t="shared" si="18"/>
        <v>1001</v>
      </c>
      <c r="AA59" s="13"/>
      <c r="AB59" s="32">
        <f t="shared" si="11"/>
        <v>51</v>
      </c>
      <c r="AC59" s="25">
        <f t="shared" si="17"/>
        <v>3000.0000000000027</v>
      </c>
      <c r="AD59" s="25">
        <f t="shared" ca="1" si="19"/>
        <v>5.5104379472693488</v>
      </c>
      <c r="AE59" s="25">
        <f t="shared" ca="1" si="5"/>
        <v>5.913672288250627</v>
      </c>
      <c r="AF59" s="25">
        <f t="shared" ca="1" si="6"/>
        <v>32.586924184891416</v>
      </c>
      <c r="AG59" s="25">
        <f ca="1">1+SUM(AD$8:AD58)</f>
        <v>3029.2057006182072</v>
      </c>
      <c r="AH59" s="25">
        <f t="shared" ca="1" si="12"/>
        <v>-201.19369407027355</v>
      </c>
      <c r="AI59" s="25">
        <f t="shared" ca="1" si="13"/>
        <v>201.19369407027355</v>
      </c>
      <c r="AK59" s="25">
        <f t="shared" ca="1" si="20"/>
        <v>-1202.9965254892675</v>
      </c>
      <c r="AL59" s="25">
        <f t="shared" ca="1" si="14"/>
        <v>1202.9965254892675</v>
      </c>
      <c r="AM59">
        <f t="shared" ca="1" si="8"/>
        <v>5.913672288250627</v>
      </c>
    </row>
    <row r="60" spans="7:39" ht="17.25" thickTop="1" thickBot="1" x14ac:dyDescent="0.3">
      <c r="G60">
        <f t="shared" si="9"/>
        <v>5.2000000000000039E-2</v>
      </c>
      <c r="H60" s="25">
        <f t="shared" si="0"/>
        <v>0.50214208566362584</v>
      </c>
      <c r="J60">
        <f t="shared" si="2"/>
        <v>3.7749770770757467E-2</v>
      </c>
      <c r="X60" s="1">
        <f t="shared" si="10"/>
        <v>52</v>
      </c>
      <c r="Y60" s="29" cm="1">
        <f t="array" ref="Y60">INDEX(J$8:J$1504,Z60) +(X60-INDEX(H$8:H$1504,Z60))*(INDEX(J$8:J$1504,Z60+1)-INDEX(J$8:J$1504,Z60))/(INDEX(H$8:H$1504,Z60+1)-INDEX(H$8:H$1504,Z60))</f>
        <v>3.4771212547196626</v>
      </c>
      <c r="Z60" s="1">
        <f t="shared" si="18"/>
        <v>1002</v>
      </c>
      <c r="AA60" s="13"/>
      <c r="AB60" s="32">
        <f t="shared" si="11"/>
        <v>52</v>
      </c>
      <c r="AC60" s="25">
        <f t="shared" si="17"/>
        <v>3000.0000000000027</v>
      </c>
      <c r="AD60" s="25">
        <f t="shared" ca="1" si="19"/>
        <v>6.5018571932862486</v>
      </c>
      <c r="AE60" s="25">
        <f t="shared" ca="1" si="5"/>
        <v>5.9120388138612636</v>
      </c>
      <c r="AF60" s="25">
        <f t="shared" ca="1" si="6"/>
        <v>38.439232088891359</v>
      </c>
      <c r="AG60" s="25">
        <f ca="1">1+SUM(AD$8:AD59)</f>
        <v>3034.7161385654767</v>
      </c>
      <c r="AH60" s="25">
        <f t="shared" ca="1" si="12"/>
        <v>0.99141924601689979</v>
      </c>
      <c r="AI60" s="25">
        <f t="shared" ca="1" si="13"/>
        <v>0.99141924601689979</v>
      </c>
      <c r="AK60" s="25">
        <f t="shared" ca="1" si="20"/>
        <v>5.8523079039999431</v>
      </c>
      <c r="AL60" s="25">
        <f t="shared" ca="1" si="14"/>
        <v>5.8523079039999431</v>
      </c>
      <c r="AM60">
        <f t="shared" ca="1" si="8"/>
        <v>5.9120388138612636</v>
      </c>
    </row>
    <row r="61" spans="7:39" ht="17.25" thickTop="1" thickBot="1" x14ac:dyDescent="0.3">
      <c r="G61">
        <f t="shared" si="9"/>
        <v>5.300000000000004E-2</v>
      </c>
      <c r="H61" s="25">
        <f t="shared" si="0"/>
        <v>0.51835137679092691</v>
      </c>
      <c r="J61">
        <f t="shared" si="2"/>
        <v>3.8967278302109221E-2</v>
      </c>
      <c r="X61" s="1">
        <f t="shared" si="10"/>
        <v>53</v>
      </c>
      <c r="Y61" s="29" cm="1">
        <f t="array" ref="Y61">INDEX(J$8:J$1504,Z61) +(X61-INDEX(H$8:H$1504,Z61))*(INDEX(J$8:J$1504,Z61+1)-INDEX(J$8:J$1504,Z61))/(INDEX(H$8:H$1504,Z61+1)-INDEX(H$8:H$1504,Z61))</f>
        <v>3.4771212547196626</v>
      </c>
      <c r="Z61" s="1">
        <f t="shared" si="18"/>
        <v>1003</v>
      </c>
      <c r="AA61" s="13"/>
      <c r="AB61" s="32">
        <f t="shared" si="11"/>
        <v>53</v>
      </c>
      <c r="AC61" s="25">
        <f t="shared" si="17"/>
        <v>3000.0000000000027</v>
      </c>
      <c r="AD61" s="25">
        <f t="shared" ca="1" si="19"/>
        <v>7.6683705306708276</v>
      </c>
      <c r="AE61" s="25">
        <f t="shared" ca="1" si="5"/>
        <v>5.9101158390573669</v>
      </c>
      <c r="AF61" s="25">
        <f t="shared" ca="1" si="6"/>
        <v>45.320958133078406</v>
      </c>
      <c r="AG61" s="25">
        <f ca="1">1+SUM(AD$8:AD60)</f>
        <v>3041.2179957587632</v>
      </c>
      <c r="AH61" s="25">
        <f t="shared" ca="1" si="12"/>
        <v>1.1665133373845791</v>
      </c>
      <c r="AI61" s="25">
        <f t="shared" ca="1" si="13"/>
        <v>1.1665133373845791</v>
      </c>
      <c r="AK61" s="25">
        <f t="shared" ca="1" si="20"/>
        <v>6.8817260441870474</v>
      </c>
      <c r="AL61" s="25">
        <f t="shared" ca="1" si="14"/>
        <v>6.8817260441870474</v>
      </c>
      <c r="AM61">
        <f t="shared" ca="1" si="8"/>
        <v>5.9101158390573669</v>
      </c>
    </row>
    <row r="62" spans="7:39" ht="17.25" thickTop="1" thickBot="1" x14ac:dyDescent="0.3">
      <c r="G62">
        <f t="shared" si="9"/>
        <v>5.4000000000000041E-2</v>
      </c>
      <c r="H62" s="25">
        <f t="shared" si="0"/>
        <v>0.53479869340454578</v>
      </c>
      <c r="J62">
        <f t="shared" si="2"/>
        <v>4.0202608161682737E-2</v>
      </c>
      <c r="X62" s="1">
        <f t="shared" si="10"/>
        <v>54</v>
      </c>
      <c r="Y62" s="29" cm="1">
        <f t="array" ref="Y62">INDEX(J$8:J$1504,Z62) +(X62-INDEX(H$8:H$1504,Z62))*(INDEX(J$8:J$1504,Z62+1)-INDEX(J$8:J$1504,Z62))/(INDEX(H$8:H$1504,Z62+1)-INDEX(H$8:H$1504,Z62))</f>
        <v>3.4771212547196626</v>
      </c>
      <c r="Z62" s="1">
        <f t="shared" si="18"/>
        <v>1004</v>
      </c>
      <c r="AA62" s="13"/>
      <c r="AB62" s="32">
        <f t="shared" si="11"/>
        <v>54</v>
      </c>
      <c r="AC62" s="25">
        <f t="shared" si="17"/>
        <v>3000.0000000000027</v>
      </c>
      <c r="AD62" s="25">
        <f t="shared" ca="1" si="19"/>
        <v>9.0400784359586481</v>
      </c>
      <c r="AE62" s="25">
        <f t="shared" ca="1" si="5"/>
        <v>5.9078539365592597</v>
      </c>
      <c r="AF62" s="25">
        <f t="shared" ca="1" si="6"/>
        <v>53.407462974682772</v>
      </c>
      <c r="AG62" s="25">
        <f ca="1">1+SUM(AD$8:AD61)</f>
        <v>3048.8863662894341</v>
      </c>
      <c r="AH62" s="25">
        <f t="shared" ca="1" si="12"/>
        <v>1.3717079052878205</v>
      </c>
      <c r="AI62" s="25">
        <f t="shared" ca="1" si="13"/>
        <v>1.3717079052878205</v>
      </c>
      <c r="AK62" s="25">
        <f t="shared" ca="1" si="20"/>
        <v>8.0865048416043663</v>
      </c>
      <c r="AL62" s="25">
        <f t="shared" ca="1" si="14"/>
        <v>8.0865048416043663</v>
      </c>
      <c r="AM62">
        <f t="shared" ca="1" si="8"/>
        <v>5.9078539365592597</v>
      </c>
    </row>
    <row r="63" spans="7:39" ht="17.25" thickTop="1" thickBot="1" x14ac:dyDescent="0.3">
      <c r="G63">
        <f t="shared" si="9"/>
        <v>5.5000000000000042E-2</v>
      </c>
      <c r="H63" s="25">
        <f t="shared" si="0"/>
        <v>0.55148352179972437</v>
      </c>
      <c r="J63">
        <f t="shared" si="2"/>
        <v>4.1455719974838053E-2</v>
      </c>
      <c r="X63" s="1">
        <f t="shared" si="10"/>
        <v>55</v>
      </c>
      <c r="Y63" s="29" cm="1">
        <f t="array" ref="Y63">INDEX(J$8:J$1504,Z63) +(X63-INDEX(H$8:H$1504,Z63))*(INDEX(J$8:J$1504,Z63+1)-INDEX(J$8:J$1504,Z63))/(INDEX(H$8:H$1504,Z63+1)-INDEX(H$8:H$1504,Z63))</f>
        <v>3.4771212547196626</v>
      </c>
      <c r="Z63" s="1">
        <f t="shared" si="18"/>
        <v>1005</v>
      </c>
      <c r="AA63" s="13"/>
      <c r="AB63" s="32">
        <f t="shared" si="11"/>
        <v>55</v>
      </c>
      <c r="AC63" s="25">
        <f t="shared" si="17"/>
        <v>3000.0000000000027</v>
      </c>
      <c r="AD63" s="25">
        <f t="shared" ca="1" si="19"/>
        <v>10.652034733842861</v>
      </c>
      <c r="AE63" s="25">
        <f t="shared" ca="1" si="5"/>
        <v>5.9051958301625014</v>
      </c>
      <c r="AF63" s="25">
        <f t="shared" ca="1" si="6"/>
        <v>62.902351093034994</v>
      </c>
      <c r="AG63" s="25">
        <f ca="1">1+SUM(AD$8:AD62)</f>
        <v>3057.9264447253927</v>
      </c>
      <c r="AH63" s="25">
        <f t="shared" ca="1" si="12"/>
        <v>1.6119562978842126</v>
      </c>
      <c r="AI63" s="25">
        <f t="shared" ca="1" si="13"/>
        <v>1.6119562978842126</v>
      </c>
      <c r="AK63" s="25">
        <f t="shared" ca="1" si="20"/>
        <v>9.4948881183522218</v>
      </c>
      <c r="AL63" s="25">
        <f t="shared" ca="1" si="14"/>
        <v>9.4948881183522218</v>
      </c>
      <c r="AM63">
        <f t="shared" ca="1" si="8"/>
        <v>5.9051958301625014</v>
      </c>
    </row>
    <row r="64" spans="7:39" ht="17.25" thickTop="1" thickBot="1" x14ac:dyDescent="0.3">
      <c r="G64">
        <f t="shared" si="9"/>
        <v>5.6000000000000043E-2</v>
      </c>
      <c r="H64" s="25">
        <f t="shared" si="0"/>
        <v>0.56840534827170519</v>
      </c>
      <c r="J64">
        <f t="shared" si="2"/>
        <v>4.272657336693518E-2</v>
      </c>
      <c r="X64" s="1">
        <f t="shared" si="10"/>
        <v>56</v>
      </c>
      <c r="Y64" s="29" cm="1">
        <f t="array" ref="Y64">INDEX(J$8:J$1504,Z64) +(X64-INDEX(H$8:H$1504,Z64))*(INDEX(J$8:J$1504,Z64+1)-INDEX(J$8:J$1504,Z64))/(INDEX(H$8:H$1504,Z64+1)-INDEX(H$8:H$1504,Z64))</f>
        <v>3.4771212547196626</v>
      </c>
      <c r="Z64" s="1">
        <f t="shared" si="18"/>
        <v>1006</v>
      </c>
      <c r="AA64" s="13"/>
      <c r="AB64" s="32">
        <f t="shared" si="11"/>
        <v>56</v>
      </c>
      <c r="AC64" s="25">
        <f t="shared" si="17"/>
        <v>3000.0000000000027</v>
      </c>
      <c r="AD64" s="25">
        <f t="shared" ca="1" si="19"/>
        <v>12.544997294912108</v>
      </c>
      <c r="AE64" s="25">
        <f t="shared" ca="1" si="5"/>
        <v>5.902075344592336</v>
      </c>
      <c r="AF64" s="25">
        <f t="shared" ca="1" si="6"/>
        <v>74.041519232278304</v>
      </c>
      <c r="AG64" s="25">
        <f ca="1">1+SUM(AD$8:AD63)</f>
        <v>3068.5784794592355</v>
      </c>
      <c r="AH64" s="25">
        <f t="shared" ca="1" si="12"/>
        <v>1.8929625610692469</v>
      </c>
      <c r="AI64" s="25">
        <f t="shared" ca="1" si="13"/>
        <v>1.8929625610692469</v>
      </c>
      <c r="AK64" s="25">
        <f t="shared" ca="1" si="20"/>
        <v>11.13916813924331</v>
      </c>
      <c r="AL64" s="25">
        <f t="shared" ca="1" si="14"/>
        <v>11.13916813924331</v>
      </c>
      <c r="AM64">
        <f t="shared" ca="1" si="8"/>
        <v>5.902075344592336</v>
      </c>
    </row>
    <row r="65" spans="7:39" ht="17.25" thickTop="1" thickBot="1" x14ac:dyDescent="0.3">
      <c r="G65">
        <f t="shared" si="9"/>
        <v>5.7000000000000044E-2</v>
      </c>
      <c r="H65" s="25">
        <f t="shared" si="0"/>
        <v>0.58556365911573049</v>
      </c>
      <c r="J65">
        <f t="shared" si="2"/>
        <v>4.4015127963334157E-2</v>
      </c>
      <c r="X65" s="1">
        <f t="shared" si="10"/>
        <v>57</v>
      </c>
      <c r="Y65" s="29" cm="1">
        <f t="array" ref="Y65">INDEX(J$8:J$1504,Z65) +(X65-INDEX(H$8:H$1504,Z65))*(INDEX(J$8:J$1504,Z65+1)-INDEX(J$8:J$1504,Z65))/(INDEX(H$8:H$1504,Z65+1)-INDEX(H$8:H$1504,Z65))</f>
        <v>3.4771212547196626</v>
      </c>
      <c r="Z65" s="1">
        <f t="shared" si="18"/>
        <v>1007</v>
      </c>
      <c r="AA65" s="13"/>
      <c r="AB65" s="32">
        <f t="shared" si="11"/>
        <v>57</v>
      </c>
      <c r="AC65" s="25">
        <f t="shared" si="17"/>
        <v>3000.0000000000027</v>
      </c>
      <c r="AD65" s="25">
        <f t="shared" ca="1" si="19"/>
        <v>14.766271869320462</v>
      </c>
      <c r="AE65" s="25">
        <f t="shared" ca="1" si="5"/>
        <v>5.8984162838441021</v>
      </c>
      <c r="AF65" s="25">
        <f t="shared" ca="1" si="6"/>
        <v>87.0976184456689</v>
      </c>
      <c r="AG65" s="25">
        <f ca="1">1+SUM(AD$8:AD64)</f>
        <v>3081.1234767541478</v>
      </c>
      <c r="AH65" s="25">
        <f t="shared" ca="1" si="12"/>
        <v>2.2212745744083549</v>
      </c>
      <c r="AI65" s="25">
        <f t="shared" ca="1" si="13"/>
        <v>2.2212745744083549</v>
      </c>
      <c r="AK65" s="25">
        <f t="shared" ca="1" si="20"/>
        <v>13.056099213390596</v>
      </c>
      <c r="AL65" s="25">
        <f t="shared" ca="1" si="14"/>
        <v>13.056099213390596</v>
      </c>
      <c r="AM65">
        <f t="shared" ca="1" si="8"/>
        <v>5.8984162838441021</v>
      </c>
    </row>
    <row r="66" spans="7:39" ht="17.25" thickTop="1" thickBot="1" x14ac:dyDescent="0.3">
      <c r="G66">
        <f t="shared" si="9"/>
        <v>5.8000000000000045E-2</v>
      </c>
      <c r="H66" s="25">
        <f t="shared" si="0"/>
        <v>0.60295794062704244</v>
      </c>
      <c r="J66">
        <f t="shared" si="2"/>
        <v>4.5321343389395016E-2</v>
      </c>
      <c r="X66" s="1">
        <f t="shared" si="10"/>
        <v>58</v>
      </c>
      <c r="Y66" s="29" cm="1">
        <f t="array" ref="Y66">INDEX(J$8:J$1504,Z66) +(X66-INDEX(H$8:H$1504,Z66))*(INDEX(J$8:J$1504,Z66+1)-INDEX(J$8:J$1504,Z66))/(INDEX(H$8:H$1504,Z66+1)-INDEX(H$8:H$1504,Z66))</f>
        <v>3.4771212547196626</v>
      </c>
      <c r="Z66" s="1">
        <f t="shared" si="18"/>
        <v>1008</v>
      </c>
      <c r="AA66" s="13"/>
      <c r="AB66" s="32">
        <f t="shared" si="11"/>
        <v>58</v>
      </c>
      <c r="AC66" s="25">
        <f t="shared" si="17"/>
        <v>3000.0000000000027</v>
      </c>
      <c r="AD66" s="25">
        <f t="shared" ca="1" si="19"/>
        <v>17.370653099527644</v>
      </c>
      <c r="AE66" s="25">
        <f t="shared" ca="1" si="5"/>
        <v>5.8941312604285958</v>
      </c>
      <c r="AF66" s="25">
        <f t="shared" ca="1" si="6"/>
        <v>102.38490944798677</v>
      </c>
      <c r="AG66" s="25">
        <f ca="1">1+SUM(AD$8:AD65)</f>
        <v>3095.8897486234682</v>
      </c>
      <c r="AH66" s="25">
        <f t="shared" ca="1" si="12"/>
        <v>2.6043812302071814</v>
      </c>
      <c r="AI66" s="25">
        <f t="shared" ca="1" si="13"/>
        <v>2.6043812302071814</v>
      </c>
      <c r="AK66" s="25">
        <f t="shared" ca="1" si="20"/>
        <v>15.287291002317872</v>
      </c>
      <c r="AL66" s="25">
        <f t="shared" ca="1" si="14"/>
        <v>15.287291002317872</v>
      </c>
      <c r="AM66">
        <f t="shared" ca="1" si="8"/>
        <v>5.8941312604285958</v>
      </c>
    </row>
    <row r="67" spans="7:39" ht="17.25" thickTop="1" thickBot="1" x14ac:dyDescent="0.3">
      <c r="G67">
        <f t="shared" si="9"/>
        <v>5.9000000000000045E-2</v>
      </c>
      <c r="H67" s="25">
        <f t="shared" si="0"/>
        <v>0.62058767910088364</v>
      </c>
      <c r="J67">
        <f t="shared" si="2"/>
        <v>4.664517927047776E-2</v>
      </c>
      <c r="X67" s="1">
        <f t="shared" si="10"/>
        <v>59</v>
      </c>
      <c r="Y67" s="29" cm="1">
        <f t="array" ref="Y67">INDEX(J$8:J$1504,Z67) +(X67-INDEX(H$8:H$1504,Z67))*(INDEX(J$8:J$1504,Z67+1)-INDEX(J$8:J$1504,Z67))/(INDEX(H$8:H$1504,Z67+1)-INDEX(H$8:H$1504,Z67))</f>
        <v>3.4771212547196626</v>
      </c>
      <c r="Z67" s="1">
        <f t="shared" si="18"/>
        <v>1009</v>
      </c>
      <c r="AA67" s="13"/>
      <c r="AB67" s="32">
        <f t="shared" si="11"/>
        <v>59</v>
      </c>
      <c r="AC67" s="25">
        <f t="shared" si="17"/>
        <v>3000.0000000000027</v>
      </c>
      <c r="AD67" s="25">
        <f t="shared" ca="1" si="19"/>
        <v>20.42146347503531</v>
      </c>
      <c r="AE67" s="25">
        <f t="shared" ca="1" si="5"/>
        <v>5.8891205111138314</v>
      </c>
      <c r="AF67" s="25">
        <f t="shared" ca="1" si="6"/>
        <v>120.26445941779238</v>
      </c>
      <c r="AG67" s="25">
        <f ca="1">1+SUM(AD$8:AD66)</f>
        <v>3113.260401722996</v>
      </c>
      <c r="AH67" s="25">
        <f t="shared" ca="1" si="12"/>
        <v>3.0508103755076661</v>
      </c>
      <c r="AI67" s="25">
        <f t="shared" ca="1" si="13"/>
        <v>3.0508103755076661</v>
      </c>
      <c r="AK67" s="25">
        <f t="shared" ca="1" si="20"/>
        <v>17.879549969805609</v>
      </c>
      <c r="AL67" s="25">
        <f t="shared" ca="1" si="14"/>
        <v>17.879549969805609</v>
      </c>
      <c r="AM67">
        <f t="shared" ca="1" si="8"/>
        <v>5.8891205111138314</v>
      </c>
    </row>
    <row r="68" spans="7:39" ht="17.25" thickTop="1" thickBot="1" x14ac:dyDescent="0.3">
      <c r="G68">
        <f t="shared" si="9"/>
        <v>6.0000000000000046E-2</v>
      </c>
      <c r="H68" s="25">
        <f t="shared" si="0"/>
        <v>0.63845236083249601</v>
      </c>
      <c r="J68">
        <f t="shared" si="2"/>
        <v>4.7986595231942424E-2</v>
      </c>
      <c r="X68" s="1">
        <f t="shared" si="10"/>
        <v>60</v>
      </c>
      <c r="Y68" s="29" cm="1">
        <f t="array" ref="Y68">INDEX(J$8:J$1504,Z68) +(X68-INDEX(H$8:H$1504,Z68))*(INDEX(J$8:J$1504,Z68+1)-INDEX(J$8:J$1504,Z68))/(INDEX(H$8:H$1504,Z68+1)-INDEX(H$8:H$1504,Z68))</f>
        <v>3.4771212547196626</v>
      </c>
      <c r="Z68" s="1">
        <f t="shared" si="18"/>
        <v>1010</v>
      </c>
      <c r="AA68" s="13"/>
      <c r="AB68" s="32">
        <f t="shared" si="11"/>
        <v>60</v>
      </c>
      <c r="AC68" s="25">
        <f t="shared" si="17"/>
        <v>3000.0000000000027</v>
      </c>
      <c r="AD68" s="25">
        <f t="shared" ca="1" si="19"/>
        <v>23.991669050587205</v>
      </c>
      <c r="AE68" s="25">
        <f t="shared" ca="1" si="5"/>
        <v>5.8832707518326934</v>
      </c>
      <c r="AF68" s="25">
        <f t="shared" ca="1" si="6"/>
        <v>141.14948481296935</v>
      </c>
      <c r="AG68" s="25">
        <f ca="1">1+SUM(AD$8:AD67)</f>
        <v>3133.6818651980311</v>
      </c>
      <c r="AH68" s="25">
        <f t="shared" ca="1" si="12"/>
        <v>3.5702055755518955</v>
      </c>
      <c r="AI68" s="25">
        <f t="shared" ca="1" si="13"/>
        <v>3.5702055755518955</v>
      </c>
      <c r="AK68" s="25">
        <f t="shared" ca="1" si="20"/>
        <v>20.885025395176967</v>
      </c>
      <c r="AL68" s="25">
        <f t="shared" ca="1" si="14"/>
        <v>20.885025395176967</v>
      </c>
      <c r="AM68">
        <f t="shared" ca="1" si="8"/>
        <v>5.8832707518326934</v>
      </c>
    </row>
    <row r="69" spans="7:39" ht="17.25" thickTop="1" thickBot="1" x14ac:dyDescent="0.3">
      <c r="G69">
        <f t="shared" si="9"/>
        <v>6.1000000000000047E-2</v>
      </c>
      <c r="H69" s="25">
        <f t="shared" si="0"/>
        <v>0.65655147211712206</v>
      </c>
      <c r="J69">
        <f t="shared" si="2"/>
        <v>4.9345550899149035E-2</v>
      </c>
      <c r="X69" s="1">
        <f t="shared" si="10"/>
        <v>61</v>
      </c>
      <c r="Y69" s="29" cm="1">
        <f t="array" ref="Y69">INDEX(J$8:J$1504,Z69) +(X69-INDEX(H$8:H$1504,Z69))*(INDEX(J$8:J$1504,Z69+1)-INDEX(J$8:J$1504,Z69))/(INDEX(H$8:H$1504,Z69+1)-INDEX(H$8:H$1504,Z69))</f>
        <v>3.4771212547196626</v>
      </c>
      <c r="Z69" s="1">
        <f t="shared" si="18"/>
        <v>1011</v>
      </c>
      <c r="AA69" s="13"/>
      <c r="AB69" s="32">
        <f t="shared" si="11"/>
        <v>61</v>
      </c>
      <c r="AC69" s="25">
        <f t="shared" si="17"/>
        <v>3000.0000000000027</v>
      </c>
      <c r="AD69" s="25">
        <f t="shared" ca="1" si="19"/>
        <v>28.353858036032648</v>
      </c>
      <c r="AE69" s="25">
        <f t="shared" ca="1" si="5"/>
        <v>5.876454150610213</v>
      </c>
      <c r="AF69" s="25">
        <f t="shared" ca="1" si="6"/>
        <v>166.62014674165678</v>
      </c>
      <c r="AG69" s="25">
        <f ca="1">1+SUM(AD$8:AD68)</f>
        <v>3157.6735342486181</v>
      </c>
      <c r="AH69" s="25">
        <f t="shared" ca="1" si="12"/>
        <v>4.3621889854454423</v>
      </c>
      <c r="AI69" s="25">
        <f t="shared" ca="1" si="13"/>
        <v>4.3621889854454423</v>
      </c>
      <c r="AK69" s="25">
        <f t="shared" ca="1" si="20"/>
        <v>25.470661928687434</v>
      </c>
      <c r="AL69" s="25">
        <f t="shared" ca="1" si="14"/>
        <v>25.470661928687434</v>
      </c>
      <c r="AM69">
        <f t="shared" ca="1" si="8"/>
        <v>5.8764541506102121</v>
      </c>
    </row>
    <row r="70" spans="7:39" ht="17.25" thickTop="1" thickBot="1" x14ac:dyDescent="0.3">
      <c r="G70">
        <f t="shared" si="9"/>
        <v>6.2000000000000048E-2</v>
      </c>
      <c r="H70" s="25">
        <f t="shared" si="0"/>
        <v>0.67488449925000404</v>
      </c>
      <c r="J70">
        <f t="shared" si="2"/>
        <v>5.0722005897457616E-2</v>
      </c>
      <c r="X70" s="1">
        <f t="shared" si="10"/>
        <v>62</v>
      </c>
      <c r="Y70" s="29" cm="1">
        <f t="array" ref="Y70">INDEX(J$8:J$1504,Z70) +(X70-INDEX(H$8:H$1504,Z70))*(INDEX(J$8:J$1504,Z70+1)-INDEX(J$8:J$1504,Z70))/(INDEX(H$8:H$1504,Z70+1)-INDEX(H$8:H$1504,Z70))</f>
        <v>3.4771212547196626</v>
      </c>
      <c r="Z70" s="1">
        <f t="shared" si="18"/>
        <v>1012</v>
      </c>
      <c r="AA70" s="13"/>
      <c r="AB70" s="32">
        <f t="shared" si="11"/>
        <v>62</v>
      </c>
      <c r="AC70" s="25">
        <f t="shared" si="17"/>
        <v>3000.0000000000027</v>
      </c>
      <c r="AD70" s="25">
        <f t="shared" ca="1" si="19"/>
        <v>33.261550954193723</v>
      </c>
      <c r="AE70" s="25">
        <f t="shared" ca="1" si="5"/>
        <v>5.8684746612306267</v>
      </c>
      <c r="AF70" s="25">
        <f t="shared" ca="1" si="6"/>
        <v>195.19456896791723</v>
      </c>
      <c r="AG70" s="25">
        <f ca="1">1+SUM(AD$8:AD69)</f>
        <v>3186.0273922846509</v>
      </c>
      <c r="AH70" s="25">
        <f t="shared" ca="1" si="12"/>
        <v>4.9076929181610751</v>
      </c>
      <c r="AI70" s="25">
        <f t="shared" ca="1" si="13"/>
        <v>4.9076929181610751</v>
      </c>
      <c r="AK70" s="25">
        <f t="shared" ca="1" si="20"/>
        <v>28.574422226260452</v>
      </c>
      <c r="AL70" s="25">
        <f t="shared" ca="1" si="14"/>
        <v>28.574422226260452</v>
      </c>
      <c r="AM70">
        <f t="shared" ca="1" si="8"/>
        <v>5.8684746612306267</v>
      </c>
    </row>
    <row r="71" spans="7:39" ht="17.25" thickTop="1" thickBot="1" x14ac:dyDescent="0.3">
      <c r="G71">
        <f t="shared" si="9"/>
        <v>6.3000000000000042E-2</v>
      </c>
      <c r="H71" s="25">
        <f t="shared" si="0"/>
        <v>0.69345092852638401</v>
      </c>
      <c r="J71">
        <f t="shared" si="2"/>
        <v>5.2115919852228181E-2</v>
      </c>
      <c r="X71" s="1">
        <f t="shared" si="10"/>
        <v>63</v>
      </c>
      <c r="Y71" s="29" cm="1">
        <f t="array" ref="Y71">INDEX(J$8:J$1504,Z71) +(X71-INDEX(H$8:H$1504,Z71))*(INDEX(J$8:J$1504,Z71+1)-INDEX(J$8:J$1504,Z71))/(INDEX(H$8:H$1504,Z71+1)-INDEX(H$8:H$1504,Z71))</f>
        <v>3.4771212547196626</v>
      </c>
      <c r="Z71" s="1">
        <f t="shared" si="18"/>
        <v>1013</v>
      </c>
      <c r="AA71" s="13"/>
      <c r="AB71" s="32">
        <f t="shared" si="11"/>
        <v>63</v>
      </c>
      <c r="AC71" s="25">
        <f t="shared" si="17"/>
        <v>3000.0000000000027</v>
      </c>
      <c r="AD71" s="25">
        <f t="shared" ca="1" si="19"/>
        <v>38.984164831398765</v>
      </c>
      <c r="AE71" s="25">
        <f t="shared" ca="1" si="5"/>
        <v>5.8592176515804777</v>
      </c>
      <c r="AF71" s="25">
        <f t="shared" ca="1" si="6"/>
        <v>228.41670671225452</v>
      </c>
      <c r="AG71" s="25">
        <f ca="1">1+SUM(AD$8:AD70)</f>
        <v>3219.2889432388447</v>
      </c>
      <c r="AH71" s="25">
        <f t="shared" ca="1" si="12"/>
        <v>5.7226138772050419</v>
      </c>
      <c r="AI71" s="25">
        <f t="shared" ca="1" si="13"/>
        <v>5.7226138772050419</v>
      </c>
      <c r="AK71" s="25">
        <f t="shared" ca="1" si="20"/>
        <v>33.222137744337289</v>
      </c>
      <c r="AL71" s="25">
        <f t="shared" ca="1" si="14"/>
        <v>33.222137744337289</v>
      </c>
      <c r="AM71">
        <f t="shared" ca="1" si="8"/>
        <v>5.8592176515804777</v>
      </c>
    </row>
    <row r="72" spans="7:39" ht="17.25" thickTop="1" thickBot="1" x14ac:dyDescent="0.3">
      <c r="G72">
        <f t="shared" si="9"/>
        <v>6.4000000000000043E-2</v>
      </c>
      <c r="H72" s="25">
        <f t="shared" ref="H72:H135" si="21">$D$8*(1-G72)^3+3*$D$9*G72*(1-G72)^2+3*$D$10*(G72)^2*(1-G72)+(G72^3*$D$11)</f>
        <v>0.71225024624150468</v>
      </c>
      <c r="J72">
        <f t="shared" si="2"/>
        <v>5.3527252388820792E-2</v>
      </c>
      <c r="X72" s="1">
        <f t="shared" si="10"/>
        <v>64</v>
      </c>
      <c r="Y72" s="29" cm="1">
        <f t="array" ref="Y72">INDEX(J$8:J$1504,Z72) +(X72-INDEX(H$8:H$1504,Z72))*(INDEX(J$8:J$1504,Z72+1)-INDEX(J$8:J$1504,Z72))/(INDEX(H$8:H$1504,Z72+1)-INDEX(H$8:H$1504,Z72))</f>
        <v>3.4771212547196626</v>
      </c>
      <c r="Z72" s="1">
        <f t="shared" si="18"/>
        <v>1015</v>
      </c>
      <c r="AA72" s="13"/>
      <c r="AB72" s="32">
        <f t="shared" si="11"/>
        <v>64</v>
      </c>
      <c r="AC72" s="25">
        <f t="shared" ref="AC72:AC108" si="22">10^(Y72)</f>
        <v>3000.0000000000027</v>
      </c>
      <c r="AD72" s="25">
        <f t="shared" ca="1" si="19"/>
        <v>45.646759797900003</v>
      </c>
      <c r="AE72" s="25">
        <f t="shared" ca="1" si="5"/>
        <v>5.8485072264469826</v>
      </c>
      <c r="AF72" s="25">
        <f t="shared" ca="1" si="6"/>
        <v>266.96540454190779</v>
      </c>
      <c r="AG72" s="25">
        <f ca="1">1+SUM(AD$8:AD71)</f>
        <v>3258.2731080702433</v>
      </c>
      <c r="AH72" s="25">
        <f t="shared" ca="1" si="12"/>
        <v>6.6625949665012385</v>
      </c>
      <c r="AI72" s="25">
        <f t="shared" ca="1" si="13"/>
        <v>6.6625949665012385</v>
      </c>
      <c r="AK72" s="25">
        <f t="shared" ca="1" si="20"/>
        <v>38.548697829653264</v>
      </c>
      <c r="AL72" s="25">
        <f t="shared" ca="1" si="14"/>
        <v>38.548697829653264</v>
      </c>
      <c r="AM72">
        <f t="shared" ca="1" si="8"/>
        <v>5.8485072264469826</v>
      </c>
    </row>
    <row r="73" spans="7:39" ht="17.25" thickTop="1" thickBot="1" x14ac:dyDescent="0.3">
      <c r="G73">
        <f t="shared" si="9"/>
        <v>6.5000000000000044E-2</v>
      </c>
      <c r="H73" s="25">
        <f t="shared" si="21"/>
        <v>0.73128193869060798</v>
      </c>
      <c r="J73">
        <f t="shared" ref="J73:J136" si="23">$E$8*(1-G73)^3+3*$E$9*G73*(1-G73)^2+3*$E$10*(G73)^2*(1-G73)+(G73^3*$E$11)</f>
        <v>5.4955963132595424E-2</v>
      </c>
      <c r="X73" s="1">
        <f t="shared" si="10"/>
        <v>65</v>
      </c>
      <c r="Y73" s="29" cm="1">
        <f t="array" ref="Y73">INDEX(J$8:J$1504,Z73) +(X73-INDEX(H$8:H$1504,Z73))*(INDEX(J$8:J$1504,Z73+1)-INDEX(J$8:J$1504,Z73))/(INDEX(H$8:H$1504,Z73+1)-INDEX(H$8:H$1504,Z73))</f>
        <v>3.4771212547196626</v>
      </c>
      <c r="Z73" s="1">
        <f t="shared" ref="Z73:Z108" si="24">MATCH(X73,H$8:H$1125,1)</f>
        <v>1016</v>
      </c>
      <c r="AA73" s="13"/>
      <c r="AB73" s="32">
        <f t="shared" si="11"/>
        <v>65</v>
      </c>
      <c r="AC73" s="25">
        <f t="shared" si="22"/>
        <v>3000.0000000000027</v>
      </c>
      <c r="AD73" s="25">
        <f t="shared" ref="AD73:AD104" ca="1" si="25">IF(AB73&gt;=A$3, AC73-AC72+OFFSET(AD73,-(A$3),0), AC73-AC72)</f>
        <v>53.389642808346387</v>
      </c>
      <c r="AE73" s="25">
        <f t="shared" ca="1" si="5"/>
        <v>5.8361524101315645</v>
      </c>
      <c r="AF73" s="25">
        <f t="shared" ca="1" si="6"/>
        <v>311.59009255199413</v>
      </c>
      <c r="AG73" s="25">
        <f ca="1">1+SUM(AD$8:AD72)</f>
        <v>3303.9198678681432</v>
      </c>
      <c r="AH73" s="25">
        <f t="shared" ca="1" si="12"/>
        <v>7.7428830104463842</v>
      </c>
      <c r="AI73" s="25">
        <f t="shared" ca="1" si="13"/>
        <v>7.7428830104463842</v>
      </c>
      <c r="AK73" s="25">
        <f t="shared" ca="1" si="20"/>
        <v>44.624688010086345</v>
      </c>
      <c r="AL73" s="25">
        <f t="shared" ca="1" si="14"/>
        <v>44.624688010086345</v>
      </c>
      <c r="AM73">
        <f t="shared" ca="1" si="8"/>
        <v>5.8361524101315645</v>
      </c>
    </row>
    <row r="74" spans="7:39" ht="17.25" thickTop="1" thickBot="1" x14ac:dyDescent="0.3">
      <c r="G74">
        <f t="shared" ref="G74:G137" si="26">G73+0.001</f>
        <v>6.6000000000000045E-2</v>
      </c>
      <c r="H74" s="25">
        <f t="shared" si="21"/>
        <v>0.7505454921689364</v>
      </c>
      <c r="J74">
        <f t="shared" si="23"/>
        <v>5.6402011708912146E-2</v>
      </c>
      <c r="X74" s="1">
        <f t="shared" ref="X74:X108" si="27">X73+1</f>
        <v>66</v>
      </c>
      <c r="Y74" s="29" cm="1">
        <f t="array" ref="Y74">INDEX(J$8:J$1504,Z74) +(X74-INDEX(H$8:H$1504,Z74))*(INDEX(J$8:J$1504,Z74+1)-INDEX(J$8:J$1504,Z74))/(INDEX(H$8:H$1504,Z74+1)-INDEX(H$8:H$1504,Z74))</f>
        <v>3.4771212547196626</v>
      </c>
      <c r="Z74" s="1">
        <f t="shared" si="24"/>
        <v>1017</v>
      </c>
      <c r="AA74" s="13"/>
      <c r="AB74" s="32">
        <f t="shared" ref="AB74:AB108" si="28">AB73+1</f>
        <v>66</v>
      </c>
      <c r="AC74" s="25">
        <f t="shared" si="22"/>
        <v>3000.0000000000027</v>
      </c>
      <c r="AD74" s="25">
        <f t="shared" ca="1" si="25"/>
        <v>62.369486872732423</v>
      </c>
      <c r="AE74" s="25">
        <f t="shared" ref="AE74:AE108" ca="1" si="29">D$3*(AG74)^(-G$3)</f>
        <v>5.8219490215879608</v>
      </c>
      <c r="AF74" s="25">
        <f t="shared" ref="AF74:AF108" ca="1" si="30">AD74*AE74</f>
        <v>363.11197307564771</v>
      </c>
      <c r="AG74" s="25">
        <f ca="1">1+SUM(AD$8:AD73)</f>
        <v>3357.3095106764895</v>
      </c>
      <c r="AH74" s="25">
        <f t="shared" ca="1" si="12"/>
        <v>8.979844064386036</v>
      </c>
      <c r="AI74" s="25">
        <f t="shared" ca="1" si="13"/>
        <v>8.979844064386036</v>
      </c>
      <c r="AK74" s="25">
        <f t="shared" ref="AK74:AK108" ca="1" si="31">(AF74-AF73)</f>
        <v>51.521880523653579</v>
      </c>
      <c r="AL74" s="25">
        <f t="shared" ca="1" si="14"/>
        <v>51.521880523653579</v>
      </c>
      <c r="AM74">
        <f t="shared" ref="AM74:AM108" ca="1" si="32">AF74/AD74</f>
        <v>5.8219490215879608</v>
      </c>
    </row>
    <row r="75" spans="7:39" ht="17.25" thickTop="1" thickBot="1" x14ac:dyDescent="0.3">
      <c r="G75">
        <f t="shared" si="26"/>
        <v>6.7000000000000046E-2</v>
      </c>
      <c r="H75" s="25">
        <f t="shared" si="21"/>
        <v>0.7700403929717321</v>
      </c>
      <c r="J75">
        <f t="shared" si="23"/>
        <v>5.7865357743130959E-2</v>
      </c>
      <c r="X75" s="1">
        <f t="shared" si="27"/>
        <v>67</v>
      </c>
      <c r="Y75" s="29" cm="1">
        <f t="array" ref="Y75">INDEX(J$8:J$1504,Z75) +(X75-INDEX(H$8:H$1504,Z75))*(INDEX(J$8:J$1504,Z75+1)-INDEX(J$8:J$1504,Z75))/(INDEX(H$8:H$1504,Z75+1)-INDEX(H$8:H$1504,Z75))</f>
        <v>3.4771212547196626</v>
      </c>
      <c r="Z75" s="1">
        <f t="shared" si="24"/>
        <v>1018</v>
      </c>
      <c r="AA75" s="13"/>
      <c r="AB75" s="32">
        <f t="shared" si="28"/>
        <v>67</v>
      </c>
      <c r="AC75" s="25">
        <f t="shared" si="22"/>
        <v>3000.0000000000027</v>
      </c>
      <c r="AD75" s="25">
        <f t="shared" ca="1" si="25"/>
        <v>72.759062079221195</v>
      </c>
      <c r="AE75" s="25">
        <f t="shared" ca="1" si="29"/>
        <v>5.8056826348992061</v>
      </c>
      <c r="AF75" s="25">
        <f t="shared" ca="1" si="30"/>
        <v>422.41602324488781</v>
      </c>
      <c r="AG75" s="25">
        <f ca="1">1+SUM(AD$8:AD74)</f>
        <v>3419.678997549222</v>
      </c>
      <c r="AH75" s="25">
        <f t="shared" ref="AH75:AH108" ca="1" si="33">AD75-AD74</f>
        <v>10.389575206488772</v>
      </c>
      <c r="AI75" s="25">
        <f t="shared" ref="AI75:AI108" ca="1" si="34">ABS(AH75)</f>
        <v>10.389575206488772</v>
      </c>
      <c r="AK75" s="25">
        <f t="shared" ca="1" si="31"/>
        <v>59.304050169240099</v>
      </c>
      <c r="AL75" s="25">
        <f t="shared" ref="AL75:AL108" ca="1" si="35">ABS(AK75)</f>
        <v>59.304050169240099</v>
      </c>
      <c r="AM75">
        <f t="shared" ca="1" si="32"/>
        <v>5.8056826348992061</v>
      </c>
    </row>
    <row r="76" spans="7:39" ht="17.25" thickTop="1" thickBot="1" x14ac:dyDescent="0.3">
      <c r="G76">
        <f t="shared" si="26"/>
        <v>6.8000000000000047E-2</v>
      </c>
      <c r="H76" s="25">
        <f t="shared" si="21"/>
        <v>0.78976612739423735</v>
      </c>
      <c r="J76">
        <f t="shared" si="23"/>
        <v>5.9345960860611897E-2</v>
      </c>
      <c r="X76" s="1">
        <f t="shared" si="27"/>
        <v>68</v>
      </c>
      <c r="Y76" s="29" cm="1">
        <f t="array" ref="Y76">INDEX(J$8:J$1504,Z76) +(X76-INDEX(H$8:H$1504,Z76))*(INDEX(J$8:J$1504,Z76+1)-INDEX(J$8:J$1504,Z76))/(INDEX(H$8:H$1504,Z76+1)-INDEX(H$8:H$1504,Z76))</f>
        <v>3.4771212547196626</v>
      </c>
      <c r="Z76" s="1">
        <f t="shared" si="24"/>
        <v>1019</v>
      </c>
      <c r="AA76" s="13"/>
      <c r="AB76" s="32">
        <f t="shared" si="28"/>
        <v>68</v>
      </c>
      <c r="AC76" s="25">
        <f t="shared" si="22"/>
        <v>3000.0000000000027</v>
      </c>
      <c r="AD76" s="25">
        <f t="shared" ca="1" si="25"/>
        <v>84.744653709958556</v>
      </c>
      <c r="AE76" s="25">
        <f t="shared" ca="1" si="29"/>
        <v>5.7871330994562555</v>
      </c>
      <c r="AF76" s="25">
        <f t="shared" ca="1" si="30"/>
        <v>490.42859048685955</v>
      </c>
      <c r="AG76" s="25">
        <f ca="1">1+SUM(AD$8:AD75)</f>
        <v>3492.4380596284432</v>
      </c>
      <c r="AH76" s="25">
        <f t="shared" ca="1" si="33"/>
        <v>11.98559163073736</v>
      </c>
      <c r="AI76" s="25">
        <f t="shared" ca="1" si="34"/>
        <v>11.98559163073736</v>
      </c>
      <c r="AK76" s="25">
        <f t="shared" ca="1" si="31"/>
        <v>68.012567241971738</v>
      </c>
      <c r="AL76" s="25">
        <f t="shared" ca="1" si="35"/>
        <v>68.012567241971738</v>
      </c>
      <c r="AM76">
        <f t="shared" ca="1" si="32"/>
        <v>5.7871330994562555</v>
      </c>
    </row>
    <row r="77" spans="7:39" ht="17.25" thickTop="1" thickBot="1" x14ac:dyDescent="0.3">
      <c r="G77">
        <f t="shared" si="26"/>
        <v>6.9000000000000047E-2</v>
      </c>
      <c r="H77" s="25">
        <f t="shared" si="21"/>
        <v>0.80972218173169463</v>
      </c>
      <c r="J77">
        <f t="shared" si="23"/>
        <v>6.0843780686714984E-2</v>
      </c>
      <c r="X77" s="1">
        <f t="shared" si="27"/>
        <v>69</v>
      </c>
      <c r="Y77" s="29" cm="1">
        <f t="array" ref="Y77">INDEX(J$8:J$1504,Z77) +(X77-INDEX(H$8:H$1504,Z77))*(INDEX(J$8:J$1504,Z77+1)-INDEX(J$8:J$1504,Z77))/(INDEX(H$8:H$1504,Z77+1)-INDEX(H$8:H$1504,Z77))</f>
        <v>3.4771212547196626</v>
      </c>
      <c r="Z77" s="1">
        <f t="shared" si="24"/>
        <v>1020</v>
      </c>
      <c r="AA77" s="13"/>
      <c r="AB77" s="32">
        <f t="shared" si="28"/>
        <v>69</v>
      </c>
      <c r="AC77" s="25">
        <f t="shared" si="22"/>
        <v>3000.0000000000027</v>
      </c>
      <c r="AD77" s="25">
        <f t="shared" ca="1" si="25"/>
        <v>98.523529931743525</v>
      </c>
      <c r="AE77" s="25">
        <f t="shared" ca="1" si="29"/>
        <v>5.7660811766855113</v>
      </c>
      <c r="AF77" s="25">
        <f t="shared" ca="1" si="30"/>
        <v>568.0946714000379</v>
      </c>
      <c r="AG77" s="25">
        <f ca="1">1+SUM(AD$8:AD76)</f>
        <v>3577.1827133384018</v>
      </c>
      <c r="AH77" s="25">
        <f t="shared" ca="1" si="33"/>
        <v>13.778876221784969</v>
      </c>
      <c r="AI77" s="25">
        <f t="shared" ca="1" si="34"/>
        <v>13.778876221784969</v>
      </c>
      <c r="AK77" s="25">
        <f t="shared" ca="1" si="31"/>
        <v>77.666080913178348</v>
      </c>
      <c r="AL77" s="25">
        <f t="shared" ca="1" si="35"/>
        <v>77.666080913178348</v>
      </c>
      <c r="AM77">
        <f t="shared" ca="1" si="32"/>
        <v>5.7660811766855113</v>
      </c>
    </row>
    <row r="78" spans="7:39" ht="17.25" thickTop="1" thickBot="1" x14ac:dyDescent="0.3">
      <c r="G78">
        <f t="shared" si="26"/>
        <v>7.0000000000000048E-2</v>
      </c>
      <c r="H78" s="25">
        <f t="shared" si="21"/>
        <v>0.829908042279346</v>
      </c>
      <c r="J78">
        <f t="shared" si="23"/>
        <v>6.2358776846800239E-2</v>
      </c>
      <c r="X78" s="1">
        <f t="shared" si="27"/>
        <v>70</v>
      </c>
      <c r="Y78" s="29" cm="1">
        <f t="array" ref="Y78">INDEX(J$8:J$1504,Z78) +(X78-INDEX(H$8:H$1504,Z78))*(INDEX(J$8:J$1504,Z78+1)-INDEX(J$8:J$1504,Z78))/(INDEX(H$8:H$1504,Z78+1)-INDEX(H$8:H$1504,Z78))</f>
        <v>3.4771212547196626</v>
      </c>
      <c r="Z78" s="1">
        <f t="shared" si="24"/>
        <v>1021</v>
      </c>
      <c r="AA78" s="13"/>
      <c r="AB78" s="32">
        <f t="shared" si="28"/>
        <v>70</v>
      </c>
      <c r="AC78" s="25">
        <f t="shared" si="22"/>
        <v>3000.0000000000027</v>
      </c>
      <c r="AD78" s="25">
        <f t="shared" ca="1" si="25"/>
        <v>114.29471019543648</v>
      </c>
      <c r="AE78" s="25">
        <f t="shared" ca="1" si="29"/>
        <v>5.7423170236887895</v>
      </c>
      <c r="AF78" s="25">
        <f t="shared" ca="1" si="30"/>
        <v>656.31646007283155</v>
      </c>
      <c r="AG78" s="25">
        <f ca="1">1+SUM(AD$8:AD77)</f>
        <v>3675.7062432701455</v>
      </c>
      <c r="AH78" s="25">
        <f t="shared" ca="1" si="33"/>
        <v>15.771180263692955</v>
      </c>
      <c r="AI78" s="25">
        <f t="shared" ca="1" si="34"/>
        <v>15.771180263692955</v>
      </c>
      <c r="AK78" s="25">
        <f t="shared" ca="1" si="31"/>
        <v>88.22178867279365</v>
      </c>
      <c r="AL78" s="25">
        <f t="shared" ca="1" si="35"/>
        <v>88.22178867279365</v>
      </c>
      <c r="AM78">
        <f t="shared" ca="1" si="32"/>
        <v>5.7423170236887895</v>
      </c>
    </row>
    <row r="79" spans="7:39" ht="17.25" thickTop="1" thickBot="1" x14ac:dyDescent="0.3">
      <c r="G79">
        <f t="shared" si="26"/>
        <v>7.1000000000000049E-2</v>
      </c>
      <c r="H79" s="25">
        <f t="shared" si="21"/>
        <v>0.85032319533243395</v>
      </c>
      <c r="J79">
        <f t="shared" si="23"/>
        <v>6.3890908966227705E-2</v>
      </c>
      <c r="X79" s="1">
        <f t="shared" si="27"/>
        <v>71</v>
      </c>
      <c r="Y79" s="29" cm="1">
        <f t="array" ref="Y79">INDEX(J$8:J$1504,Z79) +(X79-INDEX(H$8:H$1504,Z79))*(INDEX(J$8:J$1504,Z79+1)-INDEX(J$8:J$1504,Z79))/(INDEX(H$8:H$1504,Z79+1)-INDEX(H$8:H$1504,Z79))</f>
        <v>3.4771212547196626</v>
      </c>
      <c r="Z79" s="1">
        <f t="shared" si="24"/>
        <v>1022</v>
      </c>
      <c r="AA79" s="13"/>
      <c r="AB79" s="32">
        <f t="shared" si="28"/>
        <v>71</v>
      </c>
      <c r="AC79" s="25">
        <f t="shared" si="22"/>
        <v>3000.0000000000027</v>
      </c>
      <c r="AD79" s="25">
        <f t="shared" ca="1" si="25"/>
        <v>132.24830862842234</v>
      </c>
      <c r="AE79" s="25">
        <f t="shared" ca="1" si="29"/>
        <v>5.7156516065638305</v>
      </c>
      <c r="AF79" s="25">
        <f t="shared" ca="1" si="30"/>
        <v>755.88525767739145</v>
      </c>
      <c r="AG79" s="25">
        <f ca="1">1+SUM(AD$8:AD78)</f>
        <v>3790.0009534655819</v>
      </c>
      <c r="AH79" s="25">
        <f t="shared" ca="1" si="33"/>
        <v>17.953598432985856</v>
      </c>
      <c r="AI79" s="25">
        <f t="shared" ca="1" si="34"/>
        <v>17.953598432985856</v>
      </c>
      <c r="AK79" s="25">
        <f t="shared" ca="1" si="31"/>
        <v>99.568797604559904</v>
      </c>
      <c r="AL79" s="25">
        <f t="shared" ca="1" si="35"/>
        <v>99.568797604559904</v>
      </c>
      <c r="AM79">
        <f t="shared" ca="1" si="32"/>
        <v>5.7156516065638305</v>
      </c>
    </row>
    <row r="80" spans="7:39" ht="17.25" thickTop="1" thickBot="1" x14ac:dyDescent="0.3">
      <c r="G80">
        <f t="shared" si="26"/>
        <v>7.200000000000005E-2</v>
      </c>
      <c r="H80" s="25">
        <f t="shared" si="21"/>
        <v>0.87096712718620062</v>
      </c>
      <c r="J80">
        <f t="shared" si="23"/>
        <v>6.5440136670357363E-2</v>
      </c>
      <c r="X80" s="1">
        <f t="shared" si="27"/>
        <v>72</v>
      </c>
      <c r="Y80" s="29" cm="1">
        <f t="array" ref="Y80">INDEX(J$8:J$1504,Z80) +(X80-INDEX(H$8:H$1504,Z80))*(INDEX(J$8:J$1504,Z80+1)-INDEX(J$8:J$1504,Z80))/(INDEX(H$8:H$1504,Z80+1)-INDEX(H$8:H$1504,Z80))</f>
        <v>3.4771212547196626</v>
      </c>
      <c r="Z80" s="1">
        <f t="shared" si="24"/>
        <v>1023</v>
      </c>
      <c r="AA80" s="13"/>
      <c r="AB80" s="32">
        <f t="shared" si="28"/>
        <v>72</v>
      </c>
      <c r="AC80" s="25">
        <f t="shared" si="22"/>
        <v>3000.0000000000027</v>
      </c>
      <c r="AD80" s="25">
        <f t="shared" ca="1" si="25"/>
        <v>152.53738831859138</v>
      </c>
      <c r="AE80" s="25">
        <f t="shared" ca="1" si="29"/>
        <v>5.6859302832655061</v>
      </c>
      <c r="AF80" s="25">
        <f t="shared" ca="1" si="30"/>
        <v>867.31695557090882</v>
      </c>
      <c r="AG80" s="25">
        <f ca="1">1+SUM(AD$8:AD79)</f>
        <v>3922.2492620940043</v>
      </c>
      <c r="AH80" s="25">
        <f t="shared" ca="1" si="33"/>
        <v>20.289079690169046</v>
      </c>
      <c r="AI80" s="25">
        <f t="shared" ca="1" si="34"/>
        <v>20.289079690169046</v>
      </c>
      <c r="AK80" s="25">
        <f t="shared" ca="1" si="31"/>
        <v>111.43169789351737</v>
      </c>
      <c r="AL80" s="25">
        <f t="shared" ca="1" si="35"/>
        <v>111.43169789351737</v>
      </c>
      <c r="AM80">
        <f t="shared" ca="1" si="32"/>
        <v>5.6859302832655061</v>
      </c>
    </row>
    <row r="81" spans="7:39" ht="17.25" thickTop="1" thickBot="1" x14ac:dyDescent="0.3">
      <c r="G81">
        <f t="shared" si="26"/>
        <v>7.3000000000000051E-2</v>
      </c>
      <c r="H81" s="25">
        <f t="shared" si="21"/>
        <v>0.89183932413588818</v>
      </c>
      <c r="J81">
        <f t="shared" si="23"/>
        <v>6.7006419584549295E-2</v>
      </c>
      <c r="X81" s="1">
        <f t="shared" si="27"/>
        <v>73</v>
      </c>
      <c r="Y81" s="29" cm="1">
        <f t="array" ref="Y81">INDEX(J$8:J$1504,Z81) +(X81-INDEX(H$8:H$1504,Z81))*(INDEX(J$8:J$1504,Z81+1)-INDEX(J$8:J$1504,Z81))/(INDEX(H$8:H$1504,Z81+1)-INDEX(H$8:H$1504,Z81))</f>
        <v>3.4771212547196626</v>
      </c>
      <c r="Z81" s="1">
        <f t="shared" si="24"/>
        <v>1024</v>
      </c>
      <c r="AA81" s="13"/>
      <c r="AB81" s="32">
        <f t="shared" si="28"/>
        <v>73</v>
      </c>
      <c r="AC81" s="25">
        <f t="shared" si="22"/>
        <v>3000.0000000000027</v>
      </c>
      <c r="AD81" s="25">
        <f t="shared" ca="1" si="25"/>
        <v>175.24057390627047</v>
      </c>
      <c r="AE81" s="25">
        <f t="shared" ca="1" si="29"/>
        <v>5.6530507853510823</v>
      </c>
      <c r="AF81" s="25">
        <f t="shared" ca="1" si="30"/>
        <v>990.6438639462167</v>
      </c>
      <c r="AG81" s="25">
        <f ca="1">1+SUM(AD$8:AD80)</f>
        <v>4074.7866504125955</v>
      </c>
      <c r="AH81" s="25">
        <f t="shared" ca="1" si="33"/>
        <v>22.703185587679087</v>
      </c>
      <c r="AI81" s="25">
        <f t="shared" ca="1" si="34"/>
        <v>22.703185587679087</v>
      </c>
      <c r="AK81" s="25">
        <f t="shared" ca="1" si="31"/>
        <v>123.32690837530788</v>
      </c>
      <c r="AL81" s="25">
        <f t="shared" ca="1" si="35"/>
        <v>123.32690837530788</v>
      </c>
      <c r="AM81">
        <f t="shared" ca="1" si="32"/>
        <v>5.6530507853510823</v>
      </c>
    </row>
    <row r="82" spans="7:39" ht="17.25" thickTop="1" thickBot="1" x14ac:dyDescent="0.3">
      <c r="G82">
        <f t="shared" si="26"/>
        <v>7.4000000000000052E-2</v>
      </c>
      <c r="H82" s="25">
        <f t="shared" si="21"/>
        <v>0.91293927247673923</v>
      </c>
      <c r="J82">
        <f t="shared" si="23"/>
        <v>6.8589717334163497E-2</v>
      </c>
      <c r="X82" s="1">
        <f t="shared" si="27"/>
        <v>74</v>
      </c>
      <c r="Y82" s="29" cm="1">
        <f t="array" ref="Y82">INDEX(J$8:J$1504,Z82) +(X82-INDEX(H$8:H$1504,Z82))*(INDEX(J$8:J$1504,Z82+1)-INDEX(J$8:J$1504,Z82))/(INDEX(H$8:H$1504,Z82+1)-INDEX(H$8:H$1504,Z82))</f>
        <v>3.4771212547196626</v>
      </c>
      <c r="Z82" s="1">
        <f t="shared" si="24"/>
        <v>1025</v>
      </c>
      <c r="AA82" s="13"/>
      <c r="AB82" s="32">
        <f t="shared" si="28"/>
        <v>74</v>
      </c>
      <c r="AC82" s="25">
        <f t="shared" si="22"/>
        <v>3000.0000000000027</v>
      </c>
      <c r="AD82" s="25">
        <f t="shared" ca="1" si="25"/>
        <v>200.2847036675214</v>
      </c>
      <c r="AE82" s="25">
        <f t="shared" ca="1" si="29"/>
        <v>5.616984574502851</v>
      </c>
      <c r="AF82" s="25">
        <f t="shared" ca="1" si="30"/>
        <v>1124.9960910093423</v>
      </c>
      <c r="AG82" s="25">
        <f ca="1">1+SUM(AD$8:AD81)</f>
        <v>4250.0272243188656</v>
      </c>
      <c r="AH82" s="25">
        <f t="shared" ca="1" si="33"/>
        <v>25.044129761250929</v>
      </c>
      <c r="AI82" s="25">
        <f t="shared" ca="1" si="34"/>
        <v>25.044129761250929</v>
      </c>
      <c r="AK82" s="25">
        <f t="shared" ca="1" si="31"/>
        <v>134.35222706312561</v>
      </c>
      <c r="AL82" s="25">
        <f t="shared" ca="1" si="35"/>
        <v>134.35222706312561</v>
      </c>
      <c r="AM82">
        <f t="shared" ca="1" si="32"/>
        <v>5.616984574502851</v>
      </c>
    </row>
    <row r="83" spans="7:39" ht="17.25" thickTop="1" thickBot="1" x14ac:dyDescent="0.3">
      <c r="G83">
        <f t="shared" si="26"/>
        <v>7.5000000000000053E-2</v>
      </c>
      <c r="H83" s="25">
        <f t="shared" si="21"/>
        <v>0.9342664585039957</v>
      </c>
      <c r="J83">
        <f t="shared" si="23"/>
        <v>7.0189989544559989E-2</v>
      </c>
      <c r="X83" s="1">
        <f t="shared" si="27"/>
        <v>75</v>
      </c>
      <c r="Y83" s="29" cm="1">
        <f t="array" ref="Y83">INDEX(J$8:J$1504,Z83) +(X83-INDEX(H$8:H$1504,Z83))*(INDEX(J$8:J$1504,Z83+1)-INDEX(J$8:J$1504,Z83))/(INDEX(H$8:H$1504,Z83+1)-INDEX(H$8:H$1504,Z83))</f>
        <v>3.4771212547196626</v>
      </c>
      <c r="Z83" s="1">
        <f t="shared" si="24"/>
        <v>1026</v>
      </c>
      <c r="AA83" s="13"/>
      <c r="AB83" s="32">
        <f t="shared" si="28"/>
        <v>75</v>
      </c>
      <c r="AC83" s="25">
        <f t="shared" si="22"/>
        <v>3000.0000000000027</v>
      </c>
      <c r="AD83" s="25">
        <f t="shared" ca="1" si="25"/>
        <v>227.30259376728387</v>
      </c>
      <c r="AE83" s="25">
        <f t="shared" ca="1" si="29"/>
        <v>5.5778054309498151</v>
      </c>
      <c r="AF83" s="25">
        <f t="shared" ca="1" si="30"/>
        <v>1267.8496419841356</v>
      </c>
      <c r="AG83" s="25">
        <f ca="1">1+SUM(AD$8:AD82)</f>
        <v>4450.3119279863868</v>
      </c>
      <c r="AH83" s="25">
        <f t="shared" ca="1" si="33"/>
        <v>27.017890099762468</v>
      </c>
      <c r="AI83" s="25">
        <f t="shared" ca="1" si="34"/>
        <v>27.017890099762468</v>
      </c>
      <c r="AK83" s="25">
        <f t="shared" ca="1" si="31"/>
        <v>142.85355097479328</v>
      </c>
      <c r="AL83" s="25">
        <f t="shared" ca="1" si="35"/>
        <v>142.85355097479328</v>
      </c>
      <c r="AM83">
        <f t="shared" ca="1" si="32"/>
        <v>5.5778054309498151</v>
      </c>
    </row>
    <row r="84" spans="7:39" ht="17.25" thickTop="1" thickBot="1" x14ac:dyDescent="0.3">
      <c r="G84">
        <f t="shared" si="26"/>
        <v>7.6000000000000054E-2</v>
      </c>
      <c r="H84" s="25">
        <f t="shared" si="21"/>
        <v>0.95582036851290042</v>
      </c>
      <c r="J84">
        <f t="shared" si="23"/>
        <v>7.180719584109882E-2</v>
      </c>
      <c r="X84" s="1">
        <f t="shared" si="27"/>
        <v>76</v>
      </c>
      <c r="Y84" s="29" cm="1">
        <f t="array" ref="Y84">INDEX(J$8:J$1504,Z84) +(X84-INDEX(H$8:H$1504,Z84))*(INDEX(J$8:J$1504,Z84+1)-INDEX(J$8:J$1504,Z84))/(INDEX(H$8:H$1504,Z84+1)-INDEX(H$8:H$1504,Z84))</f>
        <v>3.4771212547196626</v>
      </c>
      <c r="Z84" s="1">
        <f t="shared" si="24"/>
        <v>1027</v>
      </c>
      <c r="AA84" s="13"/>
      <c r="AB84" s="32">
        <f t="shared" si="28"/>
        <v>76</v>
      </c>
      <c r="AC84" s="25">
        <f t="shared" si="22"/>
        <v>3000.0000000000027</v>
      </c>
      <c r="AD84" s="25">
        <f t="shared" ca="1" si="25"/>
        <v>255.35664809516257</v>
      </c>
      <c r="AE84" s="25">
        <f t="shared" ca="1" si="29"/>
        <v>5.5357303793154733</v>
      </c>
      <c r="AF84" s="25">
        <f t="shared" ca="1" si="30"/>
        <v>1413.5855544205622</v>
      </c>
      <c r="AG84" s="25">
        <f ca="1">1+SUM(AD$8:AD83)</f>
        <v>4677.6145217536705</v>
      </c>
      <c r="AH84" s="25">
        <f t="shared" ca="1" si="33"/>
        <v>28.054054327878703</v>
      </c>
      <c r="AI84" s="25">
        <f t="shared" ca="1" si="34"/>
        <v>28.054054327878703</v>
      </c>
      <c r="AK84" s="25">
        <f t="shared" ca="1" si="31"/>
        <v>145.73591243642659</v>
      </c>
      <c r="AL84" s="25">
        <f t="shared" ca="1" si="35"/>
        <v>145.73591243642659</v>
      </c>
      <c r="AM84">
        <f t="shared" ca="1" si="32"/>
        <v>5.5357303793154733</v>
      </c>
    </row>
    <row r="85" spans="7:39" ht="17.25" thickTop="1" thickBot="1" x14ac:dyDescent="0.3">
      <c r="G85">
        <f t="shared" si="26"/>
        <v>7.7000000000000055E-2</v>
      </c>
      <c r="H85" s="25">
        <f t="shared" si="21"/>
        <v>0.97760048879869477</v>
      </c>
      <c r="J85">
        <f t="shared" si="23"/>
        <v>7.344129584913997E-2</v>
      </c>
      <c r="X85" s="1">
        <f t="shared" si="27"/>
        <v>77</v>
      </c>
      <c r="Y85" s="29" cm="1">
        <f t="array" ref="Y85">INDEX(J$8:J$1504,Z85) +(X85-INDEX(H$8:H$1504,Z85))*(INDEX(J$8:J$1504,Z85+1)-INDEX(J$8:J$1504,Z85))/(INDEX(H$8:H$1504,Z85+1)-INDEX(H$8:H$1504,Z85))</f>
        <v>3.4771212547196626</v>
      </c>
      <c r="Z85" s="1">
        <f t="shared" si="24"/>
        <v>1028</v>
      </c>
      <c r="AA85" s="13"/>
      <c r="AB85" s="32">
        <f t="shared" si="28"/>
        <v>77</v>
      </c>
      <c r="AC85" s="25">
        <f t="shared" si="22"/>
        <v>3000.0000000000027</v>
      </c>
      <c r="AD85" s="25">
        <f t="shared" ca="1" si="25"/>
        <v>282.28971479616456</v>
      </c>
      <c r="AE85" s="25">
        <f t="shared" ca="1" si="29"/>
        <v>5.4911848987777576</v>
      </c>
      <c r="AF85" s="25">
        <f t="shared" ca="1" si="30"/>
        <v>1550.105018968979</v>
      </c>
      <c r="AG85" s="25">
        <f ca="1">1+SUM(AD$8:AD84)</f>
        <v>4932.9711698488327</v>
      </c>
      <c r="AH85" s="25">
        <f t="shared" ca="1" si="33"/>
        <v>26.933066701001991</v>
      </c>
      <c r="AI85" s="25">
        <f t="shared" ca="1" si="34"/>
        <v>26.933066701001991</v>
      </c>
      <c r="AK85" s="25">
        <f t="shared" ca="1" si="31"/>
        <v>136.51946454841686</v>
      </c>
      <c r="AL85" s="25">
        <f t="shared" ca="1" si="35"/>
        <v>136.51946454841686</v>
      </c>
      <c r="AM85">
        <f t="shared" ca="1" si="32"/>
        <v>5.4911848987777576</v>
      </c>
    </row>
    <row r="86" spans="7:39" ht="17.25" thickTop="1" thickBot="1" x14ac:dyDescent="0.3">
      <c r="G86">
        <f t="shared" si="26"/>
        <v>7.8000000000000055E-2</v>
      </c>
      <c r="H86" s="25">
        <f t="shared" si="21"/>
        <v>0.99960630565662212</v>
      </c>
      <c r="J86">
        <f t="shared" si="23"/>
        <v>7.5092249194043517E-2</v>
      </c>
      <c r="X86" s="1">
        <f t="shared" si="27"/>
        <v>78</v>
      </c>
      <c r="Y86" s="29" cm="1">
        <f t="array" ref="Y86">INDEX(J$8:J$1504,Z86) +(X86-INDEX(H$8:H$1504,Z86))*(INDEX(J$8:J$1504,Z86+1)-INDEX(J$8:J$1504,Z86))/(INDEX(H$8:H$1504,Z86+1)-INDEX(H$8:H$1504,Z86))</f>
        <v>3.4771212547196626</v>
      </c>
      <c r="Z86" s="1">
        <f t="shared" si="24"/>
        <v>1029</v>
      </c>
      <c r="AA86" s="13"/>
      <c r="AB86" s="32">
        <f t="shared" si="28"/>
        <v>78</v>
      </c>
      <c r="AC86" s="25">
        <f t="shared" si="22"/>
        <v>3000.0000000000027</v>
      </c>
      <c r="AD86" s="25">
        <f t="shared" ca="1" si="25"/>
        <v>303.03232906778749</v>
      </c>
      <c r="AE86" s="25">
        <f t="shared" ca="1" si="29"/>
        <v>5.444932981845044</v>
      </c>
      <c r="AF86" s="25">
        <f t="shared" ca="1" si="30"/>
        <v>1649.9907231065167</v>
      </c>
      <c r="AG86" s="25">
        <f ca="1">1+SUM(AD$8:AD85)</f>
        <v>5215.2608846449975</v>
      </c>
      <c r="AH86" s="25">
        <f t="shared" ca="1" si="33"/>
        <v>20.742614271622926</v>
      </c>
      <c r="AI86" s="25">
        <f t="shared" ca="1" si="34"/>
        <v>20.742614271622926</v>
      </c>
      <c r="AK86" s="25">
        <f t="shared" ca="1" si="31"/>
        <v>99.885704137537687</v>
      </c>
      <c r="AL86" s="25">
        <f t="shared" ca="1" si="35"/>
        <v>99.885704137537687</v>
      </c>
      <c r="AM86">
        <f t="shared" ca="1" si="32"/>
        <v>5.444932981845044</v>
      </c>
    </row>
    <row r="87" spans="7:39" ht="17.25" thickTop="1" thickBot="1" x14ac:dyDescent="0.3">
      <c r="G87">
        <f t="shared" si="26"/>
        <v>7.9000000000000056E-2</v>
      </c>
      <c r="H87" s="25">
        <f t="shared" si="21"/>
        <v>1.0218373053819239</v>
      </c>
      <c r="J87">
        <f t="shared" si="23"/>
        <v>7.6760015501169468E-2</v>
      </c>
      <c r="X87" s="1">
        <f t="shared" si="27"/>
        <v>79</v>
      </c>
      <c r="Y87" s="29" cm="1">
        <f t="array" ref="Y87">INDEX(J$8:J$1504,Z87) +(X87-INDEX(H$8:H$1504,Z87))*(INDEX(J$8:J$1504,Z87+1)-INDEX(J$8:J$1504,Z87))/(INDEX(H$8:H$1504,Z87+1)-INDEX(H$8:H$1504,Z87))</f>
        <v>3.4771212547196626</v>
      </c>
      <c r="Z87" s="1">
        <f t="shared" si="24"/>
        <v>1030</v>
      </c>
      <c r="AA87" s="13"/>
      <c r="AB87" s="32">
        <f t="shared" si="28"/>
        <v>79</v>
      </c>
      <c r="AC87" s="25">
        <f t="shared" si="22"/>
        <v>3000.0000000000027</v>
      </c>
      <c r="AD87" s="25">
        <f t="shared" ca="1" si="25"/>
        <v>303.2083548878814</v>
      </c>
      <c r="AE87" s="25">
        <f t="shared" ca="1" si="29"/>
        <v>5.3983879948784068</v>
      </c>
      <c r="AF87" s="25">
        <f t="shared" ca="1" si="30"/>
        <v>1636.8363429735705</v>
      </c>
      <c r="AG87" s="25">
        <f ca="1">1+SUM(AD$8:AD86)</f>
        <v>5518.2932137127846</v>
      </c>
      <c r="AH87" s="25">
        <f t="shared" ca="1" si="33"/>
        <v>0.17602582009391199</v>
      </c>
      <c r="AI87" s="25">
        <f t="shared" ca="1" si="34"/>
        <v>0.17602582009391199</v>
      </c>
      <c r="AK87" s="25">
        <f t="shared" ca="1" si="31"/>
        <v>-13.154380132946244</v>
      </c>
      <c r="AL87" s="25">
        <f t="shared" ca="1" si="35"/>
        <v>13.154380132946244</v>
      </c>
      <c r="AM87">
        <f t="shared" ca="1" si="32"/>
        <v>5.3983879948784068</v>
      </c>
    </row>
    <row r="88" spans="7:39" ht="17.25" thickTop="1" thickBot="1" x14ac:dyDescent="0.3">
      <c r="G88">
        <f t="shared" si="26"/>
        <v>8.0000000000000057E-2</v>
      </c>
      <c r="H88" s="25">
        <f t="shared" si="21"/>
        <v>1.0442929742698428</v>
      </c>
      <c r="J88">
        <f t="shared" si="23"/>
        <v>7.844455439587783E-2</v>
      </c>
      <c r="X88" s="1">
        <f t="shared" si="27"/>
        <v>80</v>
      </c>
      <c r="Y88" s="29" cm="1">
        <f t="array" ref="Y88">INDEX(J$8:J$1504,Z88) +(X88-INDEX(H$8:H$1504,Z88))*(INDEX(J$8:J$1504,Z88+1)-INDEX(J$8:J$1504,Z88))/(INDEX(H$8:H$1504,Z88+1)-INDEX(H$8:H$1504,Z88))</f>
        <v>3.4771212547196626</v>
      </c>
      <c r="Z88" s="1">
        <f t="shared" si="24"/>
        <v>1031</v>
      </c>
      <c r="AA88" s="13"/>
      <c r="AB88" s="32">
        <f t="shared" si="28"/>
        <v>80</v>
      </c>
      <c r="AC88" s="25">
        <f t="shared" si="22"/>
        <v>3000.0000000000027</v>
      </c>
      <c r="AD88" s="25">
        <f t="shared" ca="1" si="25"/>
        <v>206.70413201754289</v>
      </c>
      <c r="AE88" s="25">
        <f t="shared" ca="1" si="29"/>
        <v>5.3546738810727055</v>
      </c>
      <c r="AF88" s="25">
        <f t="shared" ca="1" si="30"/>
        <v>1106.8332168241413</v>
      </c>
      <c r="AG88" s="25">
        <f ca="1">1+SUM(AD$8:AD87)</f>
        <v>5821.5015686006664</v>
      </c>
      <c r="AH88" s="25">
        <f t="shared" ca="1" si="33"/>
        <v>-96.504222870338509</v>
      </c>
      <c r="AI88" s="25">
        <f t="shared" ca="1" si="34"/>
        <v>96.504222870338509</v>
      </c>
      <c r="AK88" s="25">
        <f t="shared" ca="1" si="31"/>
        <v>-530.00312614942914</v>
      </c>
      <c r="AL88" s="25">
        <f t="shared" ca="1" si="35"/>
        <v>530.00312614942914</v>
      </c>
      <c r="AM88">
        <f t="shared" ca="1" si="32"/>
        <v>5.3546738810727055</v>
      </c>
    </row>
    <row r="89" spans="7:39" ht="17.25" thickTop="1" thickBot="1" x14ac:dyDescent="0.3">
      <c r="G89">
        <f t="shared" si="26"/>
        <v>8.1000000000000058E-2</v>
      </c>
      <c r="H89" s="25">
        <f t="shared" si="21"/>
        <v>1.066972798615621</v>
      </c>
      <c r="J89">
        <f t="shared" si="23"/>
        <v>8.0145825503528653E-2</v>
      </c>
      <c r="X89" s="1">
        <f t="shared" si="27"/>
        <v>81</v>
      </c>
      <c r="Y89" s="29" cm="1">
        <f t="array" ref="Y89">INDEX(J$8:J$1504,Z89) +(X89-INDEX(H$8:H$1504,Z89))*(INDEX(J$8:J$1504,Z89+1)-INDEX(J$8:J$1504,Z89))/(INDEX(H$8:H$1504,Z89+1)-INDEX(H$8:H$1504,Z89))</f>
        <v>3.4771212547196626</v>
      </c>
      <c r="Z89" s="1">
        <f t="shared" si="24"/>
        <v>1032</v>
      </c>
      <c r="AA89" s="13"/>
      <c r="AB89" s="32">
        <f t="shared" si="28"/>
        <v>81</v>
      </c>
      <c r="AC89" s="25">
        <f t="shared" si="22"/>
        <v>3000.0000000000027</v>
      </c>
      <c r="AD89" s="25">
        <f t="shared" ca="1" si="25"/>
        <v>5.5104379472693488</v>
      </c>
      <c r="AE89" s="25">
        <f t="shared" ca="1" si="29"/>
        <v>5.326350187029691</v>
      </c>
      <c r="AF89" s="25">
        <f t="shared" ca="1" si="30"/>
        <v>29.350522191053603</v>
      </c>
      <c r="AG89" s="25">
        <f ca="1">1+SUM(AD$8:AD88)</f>
        <v>6028.2057006182094</v>
      </c>
      <c r="AH89" s="25">
        <f t="shared" ca="1" si="33"/>
        <v>-201.19369407027355</v>
      </c>
      <c r="AI89" s="25">
        <f t="shared" ca="1" si="34"/>
        <v>201.19369407027355</v>
      </c>
      <c r="AK89" s="25">
        <f t="shared" ca="1" si="31"/>
        <v>-1077.4826946330877</v>
      </c>
      <c r="AL89" s="25">
        <f t="shared" ca="1" si="35"/>
        <v>1077.4826946330877</v>
      </c>
      <c r="AM89">
        <f t="shared" ca="1" si="32"/>
        <v>5.326350187029691</v>
      </c>
    </row>
    <row r="90" spans="7:39" ht="17.25" thickTop="1" thickBot="1" x14ac:dyDescent="0.3">
      <c r="G90">
        <f t="shared" si="26"/>
        <v>8.2000000000000059E-2</v>
      </c>
      <c r="H90" s="25">
        <f t="shared" si="21"/>
        <v>1.0898762647145008</v>
      </c>
      <c r="J90">
        <f t="shared" si="23"/>
        <v>8.1863788449481931E-2</v>
      </c>
      <c r="X90" s="1">
        <f t="shared" si="27"/>
        <v>82</v>
      </c>
      <c r="Y90" s="29" cm="1">
        <f t="array" ref="Y90">INDEX(J$8:J$1504,Z90) +(X90-INDEX(H$8:H$1504,Z90))*(INDEX(J$8:J$1504,Z90+1)-INDEX(J$8:J$1504,Z90))/(INDEX(H$8:H$1504,Z90+1)-INDEX(H$8:H$1504,Z90))</f>
        <v>3.4771212547196626</v>
      </c>
      <c r="Z90" s="1">
        <f t="shared" si="24"/>
        <v>1033</v>
      </c>
      <c r="AA90" s="13"/>
      <c r="AB90" s="32">
        <f t="shared" si="28"/>
        <v>82</v>
      </c>
      <c r="AC90" s="25">
        <f t="shared" si="22"/>
        <v>3000.0000000000027</v>
      </c>
      <c r="AD90" s="25">
        <f t="shared" ca="1" si="25"/>
        <v>6.5018571932862486</v>
      </c>
      <c r="AE90" s="25">
        <f t="shared" ca="1" si="29"/>
        <v>5.3256104938456215</v>
      </c>
      <c r="AF90" s="25">
        <f t="shared" ca="1" si="30"/>
        <v>34.626358898050881</v>
      </c>
      <c r="AG90" s="25">
        <f ca="1">1+SUM(AD$8:AD89)</f>
        <v>6033.716138565479</v>
      </c>
      <c r="AH90" s="25">
        <f t="shared" ca="1" si="33"/>
        <v>0.99141924601689979</v>
      </c>
      <c r="AI90" s="25">
        <f t="shared" ca="1" si="34"/>
        <v>0.99141924601689979</v>
      </c>
      <c r="AK90" s="25">
        <f t="shared" ca="1" si="31"/>
        <v>5.2758367069972785</v>
      </c>
      <c r="AL90" s="25">
        <f t="shared" ca="1" si="35"/>
        <v>5.2758367069972785</v>
      </c>
      <c r="AM90">
        <f t="shared" ca="1" si="32"/>
        <v>5.3256104938456206</v>
      </c>
    </row>
    <row r="91" spans="7:39" ht="17.25" thickTop="1" thickBot="1" x14ac:dyDescent="0.3">
      <c r="G91">
        <f t="shared" si="26"/>
        <v>8.300000000000006E-2</v>
      </c>
      <c r="H91" s="25">
        <f t="shared" si="21"/>
        <v>1.1130028588617245</v>
      </c>
      <c r="J91">
        <f t="shared" si="23"/>
        <v>8.359840285909774E-2</v>
      </c>
      <c r="X91" s="1">
        <f t="shared" si="27"/>
        <v>83</v>
      </c>
      <c r="Y91" s="29" cm="1">
        <f t="array" ref="Y91">INDEX(J$8:J$1504,Z91) +(X91-INDEX(H$8:H$1504,Z91))*(INDEX(J$8:J$1504,Z91+1)-INDEX(J$8:J$1504,Z91))/(INDEX(H$8:H$1504,Z91+1)-INDEX(H$8:H$1504,Z91))</f>
        <v>3.4771212547196626</v>
      </c>
      <c r="Z91" s="1">
        <f t="shared" si="24"/>
        <v>1034</v>
      </c>
      <c r="AA91" s="13"/>
      <c r="AB91" s="32">
        <f t="shared" si="28"/>
        <v>83</v>
      </c>
      <c r="AC91" s="25">
        <f t="shared" si="22"/>
        <v>3000.0000000000027</v>
      </c>
      <c r="AD91" s="25">
        <f t="shared" ca="1" si="25"/>
        <v>7.6683705306708276</v>
      </c>
      <c r="AE91" s="25">
        <f t="shared" ca="1" si="29"/>
        <v>5.3247387177838226</v>
      </c>
      <c r="AF91" s="25">
        <f t="shared" ca="1" si="30"/>
        <v>40.832069466975433</v>
      </c>
      <c r="AG91" s="25">
        <f ca="1">1+SUM(AD$8:AD90)</f>
        <v>6040.217995758765</v>
      </c>
      <c r="AH91" s="25">
        <f t="shared" ca="1" si="33"/>
        <v>1.1665133373845791</v>
      </c>
      <c r="AI91" s="25">
        <f t="shared" ca="1" si="34"/>
        <v>1.1665133373845791</v>
      </c>
      <c r="AK91" s="25">
        <f t="shared" ca="1" si="31"/>
        <v>6.2057105689245518</v>
      </c>
      <c r="AL91" s="25">
        <f t="shared" ca="1" si="35"/>
        <v>6.2057105689245518</v>
      </c>
      <c r="AM91">
        <f t="shared" ca="1" si="32"/>
        <v>5.3247387177838226</v>
      </c>
    </row>
    <row r="92" spans="7:39" ht="17.25" thickTop="1" thickBot="1" x14ac:dyDescent="0.3">
      <c r="G92">
        <f t="shared" si="26"/>
        <v>8.4000000000000061E-2</v>
      </c>
      <c r="H92" s="25">
        <f t="shared" si="21"/>
        <v>1.1363520673525342</v>
      </c>
      <c r="J92">
        <f t="shared" si="23"/>
        <v>8.5349628357736046E-2</v>
      </c>
      <c r="X92" s="1">
        <f t="shared" si="27"/>
        <v>84</v>
      </c>
      <c r="Y92" s="29" cm="1">
        <f t="array" ref="Y92">INDEX(J$8:J$1504,Z92) +(X92-INDEX(H$8:H$1504,Z92))*(INDEX(J$8:J$1504,Z92+1)-INDEX(J$8:J$1504,Z92))/(INDEX(H$8:H$1504,Z92+1)-INDEX(H$8:H$1504,Z92))</f>
        <v>3.4771212547196626</v>
      </c>
      <c r="Z92" s="1">
        <f t="shared" si="24"/>
        <v>1035</v>
      </c>
      <c r="AA92" s="13"/>
      <c r="AB92" s="32">
        <f t="shared" si="28"/>
        <v>84</v>
      </c>
      <c r="AC92" s="25">
        <f t="shared" si="22"/>
        <v>3000.0000000000027</v>
      </c>
      <c r="AD92" s="25">
        <f t="shared" ca="1" si="25"/>
        <v>9.0400784359586481</v>
      </c>
      <c r="AE92" s="25">
        <f t="shared" ca="1" si="29"/>
        <v>5.3237119226679486</v>
      </c>
      <c r="AF92" s="25">
        <f t="shared" ca="1" si="30"/>
        <v>48.126773351366474</v>
      </c>
      <c r="AG92" s="25">
        <f ca="1">1+SUM(AD$8:AD91)</f>
        <v>6047.8863662894355</v>
      </c>
      <c r="AH92" s="25">
        <f t="shared" ca="1" si="33"/>
        <v>1.3717079052878205</v>
      </c>
      <c r="AI92" s="25">
        <f t="shared" ca="1" si="34"/>
        <v>1.3717079052878205</v>
      </c>
      <c r="AK92" s="25">
        <f t="shared" ca="1" si="31"/>
        <v>7.2947038843910406</v>
      </c>
      <c r="AL92" s="25">
        <f t="shared" ca="1" si="35"/>
        <v>7.2947038843910406</v>
      </c>
      <c r="AM92">
        <f t="shared" ca="1" si="32"/>
        <v>5.3237119226679486</v>
      </c>
    </row>
    <row r="93" spans="7:39" ht="17.25" thickTop="1" thickBot="1" x14ac:dyDescent="0.3">
      <c r="G93">
        <f t="shared" si="26"/>
        <v>8.5000000000000062E-2</v>
      </c>
      <c r="H93" s="25">
        <f t="shared" si="21"/>
        <v>1.1599233764821728</v>
      </c>
      <c r="J93">
        <f t="shared" si="23"/>
        <v>8.7117424570756913E-2</v>
      </c>
      <c r="X93" s="1">
        <f t="shared" si="27"/>
        <v>85</v>
      </c>
      <c r="Y93" s="29" cm="1">
        <f t="array" ref="Y93">INDEX(J$8:J$1504,Z93) +(X93-INDEX(H$8:H$1504,Z93))*(INDEX(J$8:J$1504,Z93+1)-INDEX(J$8:J$1504,Z93))/(INDEX(H$8:H$1504,Z93+1)-INDEX(H$8:H$1504,Z93))</f>
        <v>3.4771212547196626</v>
      </c>
      <c r="Z93" s="1">
        <f t="shared" si="24"/>
        <v>1036</v>
      </c>
      <c r="AA93" s="13"/>
      <c r="AB93" s="32">
        <f t="shared" si="28"/>
        <v>85</v>
      </c>
      <c r="AC93" s="25">
        <f t="shared" si="22"/>
        <v>3000.0000000000027</v>
      </c>
      <c r="AD93" s="25">
        <f t="shared" ca="1" si="25"/>
        <v>10.652034733842861</v>
      </c>
      <c r="AE93" s="25">
        <f t="shared" ca="1" si="29"/>
        <v>5.3225033803255686</v>
      </c>
      <c r="AF93" s="25">
        <f t="shared" ca="1" si="30"/>
        <v>56.695490878223993</v>
      </c>
      <c r="AG93" s="25">
        <f ca="1">1+SUM(AD$8:AD92)</f>
        <v>6056.9264447253945</v>
      </c>
      <c r="AH93" s="25">
        <f t="shared" ca="1" si="33"/>
        <v>1.6119562978842126</v>
      </c>
      <c r="AI93" s="25">
        <f t="shared" ca="1" si="34"/>
        <v>1.6119562978842126</v>
      </c>
      <c r="AK93" s="25">
        <f t="shared" ca="1" si="31"/>
        <v>8.5687175268575189</v>
      </c>
      <c r="AL93" s="25">
        <f t="shared" ca="1" si="35"/>
        <v>8.5687175268575189</v>
      </c>
      <c r="AM93">
        <f t="shared" ca="1" si="32"/>
        <v>5.3225033803255686</v>
      </c>
    </row>
    <row r="94" spans="7:39" ht="17.25" thickTop="1" thickBot="1" x14ac:dyDescent="0.3">
      <c r="G94">
        <f t="shared" si="26"/>
        <v>8.6000000000000063E-2</v>
      </c>
      <c r="H94" s="25">
        <f t="shared" si="21"/>
        <v>1.1837162725458821</v>
      </c>
      <c r="J94">
        <f t="shared" si="23"/>
        <v>8.8901751123520362E-2</v>
      </c>
      <c r="X94" s="1">
        <f t="shared" si="27"/>
        <v>86</v>
      </c>
      <c r="Y94" s="29" cm="1">
        <f t="array" ref="Y94">INDEX(J$8:J$1504,Z94) +(X94-INDEX(H$8:H$1504,Z94))*(INDEX(J$8:J$1504,Z94+1)-INDEX(J$8:J$1504,Z94))/(INDEX(H$8:H$1504,Z94+1)-INDEX(H$8:H$1504,Z94))</f>
        <v>3.4771212547196626</v>
      </c>
      <c r="Z94" s="1">
        <f t="shared" si="24"/>
        <v>1037</v>
      </c>
      <c r="AA94" s="13"/>
      <c r="AB94" s="32">
        <f t="shared" si="28"/>
        <v>86</v>
      </c>
      <c r="AC94" s="25">
        <f t="shared" si="22"/>
        <v>3000.0000000000027</v>
      </c>
      <c r="AD94" s="25">
        <f t="shared" ca="1" si="25"/>
        <v>12.544997294912108</v>
      </c>
      <c r="AE94" s="25">
        <f t="shared" ca="1" si="29"/>
        <v>5.3210820041106421</v>
      </c>
      <c r="AF94" s="25">
        <f t="shared" ca="1" si="30"/>
        <v>66.752959347573508</v>
      </c>
      <c r="AG94" s="25">
        <f ca="1">1+SUM(AD$8:AD93)</f>
        <v>6067.5784794592373</v>
      </c>
      <c r="AH94" s="25">
        <f t="shared" ca="1" si="33"/>
        <v>1.8929625610692469</v>
      </c>
      <c r="AI94" s="25">
        <f t="shared" ca="1" si="34"/>
        <v>1.8929625610692469</v>
      </c>
      <c r="AK94" s="25">
        <f t="shared" ca="1" si="31"/>
        <v>10.057468469349516</v>
      </c>
      <c r="AL94" s="25">
        <f t="shared" ca="1" si="35"/>
        <v>10.057468469349516</v>
      </c>
      <c r="AM94">
        <f t="shared" ca="1" si="32"/>
        <v>5.321082004110643</v>
      </c>
    </row>
    <row r="95" spans="7:39" ht="17.25" thickTop="1" thickBot="1" x14ac:dyDescent="0.3">
      <c r="G95">
        <f t="shared" si="26"/>
        <v>8.7000000000000063E-2</v>
      </c>
      <c r="H95" s="25">
        <f t="shared" si="21"/>
        <v>1.207730241838904</v>
      </c>
      <c r="J95">
        <f t="shared" si="23"/>
        <v>9.07025676413864E-2</v>
      </c>
      <c r="X95" s="1">
        <f t="shared" si="27"/>
        <v>87</v>
      </c>
      <c r="Y95" s="29" cm="1">
        <f t="array" ref="Y95">INDEX(J$8:J$1504,Z95) +(X95-INDEX(H$8:H$1504,Z95))*(INDEX(J$8:J$1504,Z95+1)-INDEX(J$8:J$1504,Z95))/(INDEX(H$8:H$1504,Z95+1)-INDEX(H$8:H$1504,Z95))</f>
        <v>3.4771212547196626</v>
      </c>
      <c r="Z95" s="1">
        <f t="shared" si="24"/>
        <v>1038</v>
      </c>
      <c r="AA95" s="13"/>
      <c r="AB95" s="32">
        <f t="shared" si="28"/>
        <v>87</v>
      </c>
      <c r="AC95" s="25">
        <f t="shared" si="22"/>
        <v>3000.0000000000027</v>
      </c>
      <c r="AD95" s="25">
        <f t="shared" ca="1" si="25"/>
        <v>14.766271869320462</v>
      </c>
      <c r="AE95" s="25">
        <f t="shared" ca="1" si="29"/>
        <v>5.3194117182637886</v>
      </c>
      <c r="AF95" s="25">
        <f t="shared" ca="1" si="30"/>
        <v>78.547879616732203</v>
      </c>
      <c r="AG95" s="25">
        <f ca="1">1+SUM(AD$8:AD94)</f>
        <v>6080.1234767541491</v>
      </c>
      <c r="AH95" s="25">
        <f t="shared" ca="1" si="33"/>
        <v>2.2212745744083549</v>
      </c>
      <c r="AI95" s="25">
        <f t="shared" ca="1" si="34"/>
        <v>2.2212745744083549</v>
      </c>
      <c r="AK95" s="25">
        <f t="shared" ca="1" si="31"/>
        <v>11.794920269158695</v>
      </c>
      <c r="AL95" s="25">
        <f t="shared" ca="1" si="35"/>
        <v>11.794920269158695</v>
      </c>
      <c r="AM95">
        <f t="shared" ca="1" si="32"/>
        <v>5.3194117182637886</v>
      </c>
    </row>
    <row r="96" spans="7:39" ht="17.25" thickTop="1" thickBot="1" x14ac:dyDescent="0.3">
      <c r="G96">
        <f t="shared" si="26"/>
        <v>8.8000000000000064E-2</v>
      </c>
      <c r="H96" s="25">
        <f t="shared" si="21"/>
        <v>1.2319647706564816</v>
      </c>
      <c r="J96">
        <f t="shared" si="23"/>
        <v>9.2519833749715077E-2</v>
      </c>
      <c r="X96" s="1">
        <f t="shared" si="27"/>
        <v>88</v>
      </c>
      <c r="Y96" s="29" cm="1">
        <f t="array" ref="Y96">INDEX(J$8:J$1504,Z96) +(X96-INDEX(H$8:H$1504,Z96))*(INDEX(J$8:J$1504,Z96+1)-INDEX(J$8:J$1504,Z96))/(INDEX(H$8:H$1504,Z96+1)-INDEX(H$8:H$1504,Z96))</f>
        <v>3.4771212547196626</v>
      </c>
      <c r="Z96" s="1">
        <f t="shared" si="24"/>
        <v>1039</v>
      </c>
      <c r="AA96" s="13"/>
      <c r="AB96" s="32">
        <f t="shared" si="28"/>
        <v>88</v>
      </c>
      <c r="AC96" s="25">
        <f t="shared" si="22"/>
        <v>3000.0000000000027</v>
      </c>
      <c r="AD96" s="25">
        <f t="shared" ca="1" si="25"/>
        <v>17.370653099527644</v>
      </c>
      <c r="AE96" s="25">
        <f t="shared" ca="1" si="29"/>
        <v>5.3174507633995951</v>
      </c>
      <c r="AF96" s="25">
        <f t="shared" ca="1" si="30"/>
        <v>92.367592584832806</v>
      </c>
      <c r="AG96" s="25">
        <f ca="1">1+SUM(AD$8:AD95)</f>
        <v>6094.8897486234691</v>
      </c>
      <c r="AH96" s="25">
        <f t="shared" ca="1" si="33"/>
        <v>2.6043812302071814</v>
      </c>
      <c r="AI96" s="25">
        <f t="shared" ca="1" si="34"/>
        <v>2.6043812302071814</v>
      </c>
      <c r="AK96" s="25">
        <f t="shared" ca="1" si="31"/>
        <v>13.819712968100603</v>
      </c>
      <c r="AL96" s="25">
        <f t="shared" ca="1" si="35"/>
        <v>13.819712968100603</v>
      </c>
      <c r="AM96">
        <f t="shared" ca="1" si="32"/>
        <v>5.3174507633995951</v>
      </c>
    </row>
    <row r="97" spans="7:39" ht="17.25" thickTop="1" thickBot="1" x14ac:dyDescent="0.3">
      <c r="G97">
        <f t="shared" si="26"/>
        <v>8.9000000000000065E-2</v>
      </c>
      <c r="H97" s="25">
        <f t="shared" si="21"/>
        <v>1.2564193452938563</v>
      </c>
      <c r="J97">
        <f t="shared" si="23"/>
        <v>9.4353509073866387E-2</v>
      </c>
      <c r="X97" s="1">
        <f t="shared" si="27"/>
        <v>89</v>
      </c>
      <c r="Y97" s="29" cm="1">
        <f t="array" ref="Y97">INDEX(J$8:J$1504,Z97) +(X97-INDEX(H$8:H$1504,Z97))*(INDEX(J$8:J$1504,Z97+1)-INDEX(J$8:J$1504,Z97))/(INDEX(H$8:H$1504,Z97+1)-INDEX(H$8:H$1504,Z97))</f>
        <v>3.4771212547196626</v>
      </c>
      <c r="Z97" s="1">
        <f t="shared" si="24"/>
        <v>1040</v>
      </c>
      <c r="AA97" s="13"/>
      <c r="AB97" s="32">
        <f t="shared" si="28"/>
        <v>89</v>
      </c>
      <c r="AC97" s="25">
        <f t="shared" si="22"/>
        <v>3000.0000000000027</v>
      </c>
      <c r="AD97" s="25">
        <f t="shared" ca="1" si="25"/>
        <v>20.42146347503531</v>
      </c>
      <c r="AE97" s="25">
        <f t="shared" ca="1" si="29"/>
        <v>5.3151509419550251</v>
      </c>
      <c r="AF97" s="25">
        <f t="shared" ca="1" si="30"/>
        <v>108.54316082543407</v>
      </c>
      <c r="AG97" s="25">
        <f ca="1">1+SUM(AD$8:AD96)</f>
        <v>6112.2604017229969</v>
      </c>
      <c r="AH97" s="25">
        <f t="shared" ca="1" si="33"/>
        <v>3.0508103755076661</v>
      </c>
      <c r="AI97" s="25">
        <f t="shared" ca="1" si="34"/>
        <v>3.0508103755076661</v>
      </c>
      <c r="AK97" s="25">
        <f t="shared" ca="1" si="31"/>
        <v>16.175568240601265</v>
      </c>
      <c r="AL97" s="25">
        <f t="shared" ca="1" si="35"/>
        <v>16.175568240601265</v>
      </c>
      <c r="AM97">
        <f t="shared" ca="1" si="32"/>
        <v>5.3151509419550251</v>
      </c>
    </row>
    <row r="98" spans="7:39" ht="17.25" thickTop="1" thickBot="1" x14ac:dyDescent="0.3">
      <c r="G98">
        <f t="shared" si="26"/>
        <v>9.0000000000000066E-2</v>
      </c>
      <c r="H98" s="25">
        <f t="shared" si="21"/>
        <v>1.2810934520462713</v>
      </c>
      <c r="J98">
        <f t="shared" si="23"/>
        <v>9.6203553239200379E-2</v>
      </c>
      <c r="X98" s="1">
        <f t="shared" si="27"/>
        <v>90</v>
      </c>
      <c r="Y98" s="29" cm="1">
        <f t="array" ref="Y98">INDEX(J$8:J$1504,Z98) +(X98-INDEX(H$8:H$1504,Z98))*(INDEX(J$8:J$1504,Z98+1)-INDEX(J$8:J$1504,Z98))/(INDEX(H$8:H$1504,Z98+1)-INDEX(H$8:H$1504,Z98))</f>
        <v>3.4771212547196626</v>
      </c>
      <c r="Z98" s="1">
        <f t="shared" si="24"/>
        <v>1041</v>
      </c>
      <c r="AA98" s="13"/>
      <c r="AB98" s="32">
        <f t="shared" si="28"/>
        <v>90</v>
      </c>
      <c r="AC98" s="25">
        <f t="shared" si="22"/>
        <v>3000.0000000000027</v>
      </c>
      <c r="AD98" s="25">
        <f t="shared" ca="1" si="25"/>
        <v>23.991669050587205</v>
      </c>
      <c r="AE98" s="25">
        <f t="shared" ca="1" si="29"/>
        <v>5.3124568125194616</v>
      </c>
      <c r="AF98" s="25">
        <f t="shared" ca="1" si="30"/>
        <v>127.45470569150432</v>
      </c>
      <c r="AG98" s="25">
        <f ca="1">1+SUM(AD$8:AD97)</f>
        <v>6132.681865198032</v>
      </c>
      <c r="AH98" s="25">
        <f t="shared" ca="1" si="33"/>
        <v>3.5702055755518955</v>
      </c>
      <c r="AI98" s="25">
        <f t="shared" ca="1" si="34"/>
        <v>3.5702055755518955</v>
      </c>
      <c r="AK98" s="25">
        <f t="shared" ca="1" si="31"/>
        <v>18.911544866070244</v>
      </c>
      <c r="AL98" s="25">
        <f t="shared" ca="1" si="35"/>
        <v>18.911544866070244</v>
      </c>
      <c r="AM98">
        <f t="shared" ca="1" si="32"/>
        <v>5.3124568125194616</v>
      </c>
    </row>
    <row r="99" spans="7:39" ht="17.25" thickTop="1" thickBot="1" x14ac:dyDescent="0.3">
      <c r="G99">
        <f t="shared" si="26"/>
        <v>9.1000000000000067E-2</v>
      </c>
      <c r="H99" s="25">
        <f t="shared" si="21"/>
        <v>1.3059865772089685</v>
      </c>
      <c r="J99">
        <f t="shared" si="23"/>
        <v>9.8069925871077088E-2</v>
      </c>
      <c r="X99" s="1">
        <f t="shared" si="27"/>
        <v>91</v>
      </c>
      <c r="Y99" s="29" cm="1">
        <f t="array" ref="Y99">INDEX(J$8:J$1504,Z99) +(X99-INDEX(H$8:H$1504,Z99))*(INDEX(J$8:J$1504,Z99+1)-INDEX(J$8:J$1504,Z99))/(INDEX(H$8:H$1504,Z99+1)-INDEX(H$8:H$1504,Z99))</f>
        <v>3.4771212547196626</v>
      </c>
      <c r="Z99" s="1">
        <f t="shared" si="24"/>
        <v>1042</v>
      </c>
      <c r="AA99" s="13"/>
      <c r="AB99" s="32">
        <f t="shared" si="28"/>
        <v>91</v>
      </c>
      <c r="AC99" s="25">
        <f t="shared" si="22"/>
        <v>3000.0000000000027</v>
      </c>
      <c r="AD99" s="25">
        <f t="shared" ca="1" si="25"/>
        <v>28.353858036032648</v>
      </c>
      <c r="AE99" s="25">
        <f t="shared" ca="1" si="29"/>
        <v>5.3093048512249199</v>
      </c>
      <c r="AF99" s="25">
        <f t="shared" ca="1" si="30"/>
        <v>150.53927602165081</v>
      </c>
      <c r="AG99" s="25">
        <f ca="1">1+SUM(AD$8:AD98)</f>
        <v>6156.673534248619</v>
      </c>
      <c r="AH99" s="25">
        <f t="shared" ca="1" si="33"/>
        <v>4.3621889854454423</v>
      </c>
      <c r="AI99" s="25">
        <f t="shared" ca="1" si="34"/>
        <v>4.3621889854454423</v>
      </c>
      <c r="AK99" s="25">
        <f t="shared" ca="1" si="31"/>
        <v>23.084570330146491</v>
      </c>
      <c r="AL99" s="25">
        <f t="shared" ca="1" si="35"/>
        <v>23.084570330146491</v>
      </c>
      <c r="AM99">
        <f t="shared" ca="1" si="32"/>
        <v>5.3093048512249199</v>
      </c>
    </row>
    <row r="100" spans="7:39" ht="17.25" thickTop="1" thickBot="1" x14ac:dyDescent="0.3">
      <c r="G100">
        <f t="shared" si="26"/>
        <v>9.2000000000000068E-2</v>
      </c>
      <c r="H100" s="25">
        <f t="shared" si="21"/>
        <v>1.33109820707719</v>
      </c>
      <c r="J100">
        <f t="shared" si="23"/>
        <v>9.9952586594856521E-2</v>
      </c>
      <c r="X100" s="1">
        <f t="shared" si="27"/>
        <v>92</v>
      </c>
      <c r="Y100" s="29" cm="1">
        <f t="array" ref="Y100">INDEX(J$8:J$1504,Z100) +(X100-INDEX(H$8:H$1504,Z100))*(INDEX(J$8:J$1504,Z100+1)-INDEX(J$8:J$1504,Z100))/(INDEX(H$8:H$1504,Z100+1)-INDEX(H$8:H$1504,Z100))</f>
        <v>3.4771212547196626</v>
      </c>
      <c r="Z100" s="1">
        <f t="shared" si="24"/>
        <v>1043</v>
      </c>
      <c r="AA100" s="13"/>
      <c r="AB100" s="32">
        <f t="shared" si="28"/>
        <v>92</v>
      </c>
      <c r="AC100" s="25">
        <f t="shared" si="22"/>
        <v>3000.0000000000027</v>
      </c>
      <c r="AD100" s="25">
        <f t="shared" ca="1" si="25"/>
        <v>33.261550954193723</v>
      </c>
      <c r="AE100" s="25">
        <f t="shared" ca="1" si="29"/>
        <v>5.3055979899036014</v>
      </c>
      <c r="AF100" s="25">
        <f t="shared" ca="1" si="30"/>
        <v>176.47241788364644</v>
      </c>
      <c r="AG100" s="25">
        <f ca="1">1+SUM(AD$8:AD99)</f>
        <v>6185.0273922846518</v>
      </c>
      <c r="AH100" s="25">
        <f t="shared" ca="1" si="33"/>
        <v>4.9076929181610751</v>
      </c>
      <c r="AI100" s="25">
        <f t="shared" ca="1" si="34"/>
        <v>4.9076929181610751</v>
      </c>
      <c r="AK100" s="25">
        <f t="shared" ca="1" si="31"/>
        <v>25.933141861995637</v>
      </c>
      <c r="AL100" s="25">
        <f t="shared" ca="1" si="35"/>
        <v>25.933141861995637</v>
      </c>
      <c r="AM100">
        <f t="shared" ca="1" si="32"/>
        <v>5.3055979899036014</v>
      </c>
    </row>
    <row r="101" spans="7:39" ht="17.25" thickTop="1" thickBot="1" x14ac:dyDescent="0.3">
      <c r="G101">
        <f t="shared" si="26"/>
        <v>9.3000000000000069E-2</v>
      </c>
      <c r="H101" s="25">
        <f t="shared" si="21"/>
        <v>1.3564278279461783</v>
      </c>
      <c r="J101">
        <f t="shared" si="23"/>
        <v>0.10185149503589869</v>
      </c>
      <c r="X101" s="1">
        <f t="shared" si="27"/>
        <v>93</v>
      </c>
      <c r="Y101" s="29" cm="1">
        <f t="array" ref="Y101">INDEX(J$8:J$1504,Z101) +(X101-INDEX(H$8:H$1504,Z101))*(INDEX(J$8:J$1504,Z101+1)-INDEX(J$8:J$1504,Z101))/(INDEX(H$8:H$1504,Z101+1)-INDEX(H$8:H$1504,Z101))</f>
        <v>3.4771212547196626</v>
      </c>
      <c r="Z101" s="1">
        <f t="shared" si="24"/>
        <v>1044</v>
      </c>
      <c r="AA101" s="13"/>
      <c r="AB101" s="32">
        <f t="shared" si="28"/>
        <v>93</v>
      </c>
      <c r="AC101" s="25">
        <f t="shared" si="22"/>
        <v>3000.0000000000027</v>
      </c>
      <c r="AD101" s="25">
        <f t="shared" ca="1" si="25"/>
        <v>38.984164831398765</v>
      </c>
      <c r="AE101" s="25">
        <f t="shared" ca="1" si="29"/>
        <v>5.3012743903538375</v>
      </c>
      <c r="AF101" s="25">
        <f t="shared" ca="1" si="30"/>
        <v>206.665754650027</v>
      </c>
      <c r="AG101" s="25">
        <f ca="1">1+SUM(AD$8:AD100)</f>
        <v>6218.2889432388456</v>
      </c>
      <c r="AH101" s="25">
        <f t="shared" ca="1" si="33"/>
        <v>5.7226138772050419</v>
      </c>
      <c r="AI101" s="25">
        <f t="shared" ca="1" si="34"/>
        <v>5.7226138772050419</v>
      </c>
      <c r="AK101" s="25">
        <f t="shared" ca="1" si="31"/>
        <v>30.193336766380554</v>
      </c>
      <c r="AL101" s="25">
        <f t="shared" ca="1" si="35"/>
        <v>30.193336766380554</v>
      </c>
      <c r="AM101">
        <f t="shared" ca="1" si="32"/>
        <v>5.3012743903538375</v>
      </c>
    </row>
    <row r="102" spans="7:39" ht="17.25" thickTop="1" thickBot="1" x14ac:dyDescent="0.3">
      <c r="G102">
        <f t="shared" si="26"/>
        <v>9.400000000000007E-2</v>
      </c>
      <c r="H102" s="25">
        <f t="shared" si="21"/>
        <v>1.3819749261111753</v>
      </c>
      <c r="J102">
        <f t="shared" si="23"/>
        <v>0.10376661081956363</v>
      </c>
      <c r="X102" s="1">
        <f t="shared" si="27"/>
        <v>94</v>
      </c>
      <c r="Y102" s="29" cm="1">
        <f t="array" ref="Y102">INDEX(J$8:J$1504,Z102) +(X102-INDEX(H$8:H$1504,Z102))*(INDEX(J$8:J$1504,Z102+1)-INDEX(J$8:J$1504,Z102))/(INDEX(H$8:H$1504,Z102+1)-INDEX(H$8:H$1504,Z102))</f>
        <v>3.4771212547196626</v>
      </c>
      <c r="Z102" s="1">
        <f t="shared" si="24"/>
        <v>1045</v>
      </c>
      <c r="AA102" s="13"/>
      <c r="AB102" s="32">
        <f t="shared" si="28"/>
        <v>94</v>
      </c>
      <c r="AC102" s="25">
        <f t="shared" si="22"/>
        <v>3000.0000000000027</v>
      </c>
      <c r="AD102" s="25">
        <f t="shared" ca="1" si="25"/>
        <v>45.646759797900003</v>
      </c>
      <c r="AE102" s="25">
        <f t="shared" ca="1" si="29"/>
        <v>5.2962407061574499</v>
      </c>
      <c r="AF102" s="25">
        <f t="shared" ca="1" si="30"/>
        <v>241.75622734582942</v>
      </c>
      <c r="AG102" s="25">
        <f ca="1">1+SUM(AD$8:AD101)</f>
        <v>6257.2731080702442</v>
      </c>
      <c r="AH102" s="25">
        <f t="shared" ca="1" si="33"/>
        <v>6.6625949665012385</v>
      </c>
      <c r="AI102" s="25">
        <f t="shared" ca="1" si="34"/>
        <v>6.6625949665012385</v>
      </c>
      <c r="AK102" s="25">
        <f t="shared" ca="1" si="31"/>
        <v>35.090472695802418</v>
      </c>
      <c r="AL102" s="25">
        <f t="shared" ca="1" si="35"/>
        <v>35.090472695802418</v>
      </c>
      <c r="AM102">
        <f t="shared" ca="1" si="32"/>
        <v>5.2962407061574499</v>
      </c>
    </row>
    <row r="103" spans="7:39" ht="17.25" thickTop="1" thickBot="1" x14ac:dyDescent="0.3">
      <c r="G103">
        <f t="shared" si="26"/>
        <v>9.500000000000007E-2</v>
      </c>
      <c r="H103" s="25">
        <f t="shared" si="21"/>
        <v>1.4077389878674242</v>
      </c>
      <c r="J103">
        <f t="shared" si="23"/>
        <v>0.1056978935712114</v>
      </c>
      <c r="X103" s="1">
        <f t="shared" si="27"/>
        <v>95</v>
      </c>
      <c r="Y103" s="29" cm="1">
        <f t="array" ref="Y103">INDEX(J$8:J$1504,Z103) +(X103-INDEX(H$8:H$1504,Z103))*(INDEX(J$8:J$1504,Z103+1)-INDEX(J$8:J$1504,Z103))/(INDEX(H$8:H$1504,Z103+1)-INDEX(H$8:H$1504,Z103))</f>
        <v>3.4771212547196626</v>
      </c>
      <c r="Z103" s="1">
        <f t="shared" si="24"/>
        <v>1046</v>
      </c>
      <c r="AA103" s="13"/>
      <c r="AB103" s="32">
        <f t="shared" si="28"/>
        <v>95</v>
      </c>
      <c r="AC103" s="25">
        <f t="shared" si="22"/>
        <v>3000.0000000000027</v>
      </c>
      <c r="AD103" s="25">
        <f t="shared" ca="1" si="25"/>
        <v>53.389642808346387</v>
      </c>
      <c r="AE103" s="25">
        <f t="shared" ca="1" si="29"/>
        <v>5.2903924578763339</v>
      </c>
      <c r="AF103" s="25">
        <f t="shared" ca="1" si="30"/>
        <v>282.45216364198717</v>
      </c>
      <c r="AG103" s="25">
        <f ca="1">1+SUM(AD$8:AD102)</f>
        <v>6302.9198678681441</v>
      </c>
      <c r="AH103" s="25">
        <f t="shared" ca="1" si="33"/>
        <v>7.7428830104463842</v>
      </c>
      <c r="AI103" s="25">
        <f t="shared" ca="1" si="34"/>
        <v>7.7428830104463842</v>
      </c>
      <c r="AK103" s="25">
        <f t="shared" ca="1" si="31"/>
        <v>40.695936296157754</v>
      </c>
      <c r="AL103" s="25">
        <f t="shared" ca="1" si="35"/>
        <v>40.695936296157754</v>
      </c>
      <c r="AM103">
        <f t="shared" ca="1" si="32"/>
        <v>5.2903924578763339</v>
      </c>
    </row>
    <row r="104" spans="7:39" ht="17.25" thickTop="1" thickBot="1" x14ac:dyDescent="0.3">
      <c r="G104">
        <f t="shared" si="26"/>
        <v>9.6000000000000071E-2</v>
      </c>
      <c r="H104" s="25">
        <f t="shared" si="21"/>
        <v>1.4337194995101665</v>
      </c>
      <c r="J104">
        <f t="shared" si="23"/>
        <v>0.10764530291620199</v>
      </c>
      <c r="X104" s="1">
        <f t="shared" si="27"/>
        <v>96</v>
      </c>
      <c r="Y104" s="29" cm="1">
        <f t="array" ref="Y104">INDEX(J$8:J$1504,Z104) +(X104-INDEX(H$8:H$1504,Z104))*(INDEX(J$8:J$1504,Z104+1)-INDEX(J$8:J$1504,Z104))/(INDEX(H$8:H$1504,Z104+1)-INDEX(H$8:H$1504,Z104))</f>
        <v>3.4771212547196626</v>
      </c>
      <c r="Z104" s="1">
        <f t="shared" si="24"/>
        <v>1047</v>
      </c>
      <c r="AA104" s="13"/>
      <c r="AB104" s="32">
        <f t="shared" si="28"/>
        <v>96</v>
      </c>
      <c r="AC104" s="25">
        <f t="shared" si="22"/>
        <v>3000.0000000000027</v>
      </c>
      <c r="AD104" s="25">
        <f t="shared" ca="1" si="25"/>
        <v>62.369486872732423</v>
      </c>
      <c r="AE104" s="25">
        <f t="shared" ca="1" si="29"/>
        <v>5.2836137916414252</v>
      </c>
      <c r="AF104" s="25">
        <f t="shared" ca="1" si="30"/>
        <v>329.53628101836784</v>
      </c>
      <c r="AG104" s="25">
        <f ca="1">1+SUM(AD$8:AD103)</f>
        <v>6356.3095106764904</v>
      </c>
      <c r="AH104" s="25">
        <f t="shared" ca="1" si="33"/>
        <v>8.979844064386036</v>
      </c>
      <c r="AI104" s="25">
        <f t="shared" ca="1" si="34"/>
        <v>8.979844064386036</v>
      </c>
      <c r="AK104" s="25">
        <f t="shared" ca="1" si="31"/>
        <v>47.084117376380675</v>
      </c>
      <c r="AL104" s="25">
        <f t="shared" ca="1" si="35"/>
        <v>47.084117376380675</v>
      </c>
      <c r="AM104">
        <f t="shared" ca="1" si="32"/>
        <v>5.2836137916414252</v>
      </c>
    </row>
    <row r="105" spans="7:39" ht="17.25" thickTop="1" thickBot="1" x14ac:dyDescent="0.3">
      <c r="G105">
        <f t="shared" si="26"/>
        <v>9.7000000000000072E-2</v>
      </c>
      <c r="H105" s="25">
        <f t="shared" si="21"/>
        <v>1.4599159473346448</v>
      </c>
      <c r="J105">
        <f t="shared" si="23"/>
        <v>0.10960879847989541</v>
      </c>
      <c r="X105" s="1">
        <f t="shared" si="27"/>
        <v>97</v>
      </c>
      <c r="Y105" s="29" cm="1">
        <f t="array" ref="Y105">INDEX(J$8:J$1504,Z105) +(X105-INDEX(H$8:H$1504,Z105))*(INDEX(J$8:J$1504,Z105+1)-INDEX(J$8:J$1504,Z105))/(INDEX(H$8:H$1504,Z105+1)-INDEX(H$8:H$1504,Z105))</f>
        <v>3.4771212547196626</v>
      </c>
      <c r="Z105" s="1">
        <f t="shared" si="24"/>
        <v>1048</v>
      </c>
      <c r="AA105" s="13"/>
      <c r="AB105" s="32">
        <f t="shared" si="28"/>
        <v>97</v>
      </c>
      <c r="AC105" s="25">
        <f t="shared" si="22"/>
        <v>3000.0000000000027</v>
      </c>
      <c r="AD105" s="25">
        <f t="shared" ref="AD105:AD108" ca="1" si="36">IF(AB105&gt;=A$3, AC105-AC104+OFFSET(AD105,-(A$3),0), AC105-AC104)</f>
        <v>72.759062079221195</v>
      </c>
      <c r="AE105" s="25">
        <f t="shared" ca="1" si="29"/>
        <v>5.2757775767541268</v>
      </c>
      <c r="AF105" s="25">
        <f t="shared" ca="1" si="30"/>
        <v>383.86062822321668</v>
      </c>
      <c r="AG105" s="25">
        <f ca="1">1+SUM(AD$8:AD104)</f>
        <v>6418.6789975492229</v>
      </c>
      <c r="AH105" s="25">
        <f t="shared" ca="1" si="33"/>
        <v>10.389575206488772</v>
      </c>
      <c r="AI105" s="25">
        <f t="shared" ca="1" si="34"/>
        <v>10.389575206488772</v>
      </c>
      <c r="AK105" s="25">
        <f t="shared" ca="1" si="31"/>
        <v>54.324347204848834</v>
      </c>
      <c r="AL105" s="25">
        <f t="shared" ca="1" si="35"/>
        <v>54.324347204848834</v>
      </c>
      <c r="AM105">
        <f t="shared" ca="1" si="32"/>
        <v>5.2757775767541268</v>
      </c>
    </row>
    <row r="106" spans="7:39" ht="17.25" thickTop="1" thickBot="1" x14ac:dyDescent="0.3">
      <c r="G106">
        <f t="shared" si="26"/>
        <v>9.8000000000000073E-2</v>
      </c>
      <c r="H106" s="25">
        <f t="shared" si="21"/>
        <v>1.486327817636101</v>
      </c>
      <c r="J106">
        <f t="shared" si="23"/>
        <v>0.11158833988765174</v>
      </c>
      <c r="X106" s="1">
        <f t="shared" si="27"/>
        <v>98</v>
      </c>
      <c r="Y106" s="29" cm="1">
        <f t="array" ref="Y106">INDEX(J$8:J$1504,Z106) +(X106-INDEX(H$8:H$1504,Z106))*(INDEX(J$8:J$1504,Z106+1)-INDEX(J$8:J$1504,Z106))/(INDEX(H$8:H$1504,Z106+1)-INDEX(H$8:H$1504,Z106))</f>
        <v>3.4771212547196626</v>
      </c>
      <c r="Z106" s="1">
        <f t="shared" si="24"/>
        <v>1049</v>
      </c>
      <c r="AA106" s="13"/>
      <c r="AB106" s="32">
        <f t="shared" si="28"/>
        <v>98</v>
      </c>
      <c r="AC106" s="25">
        <f t="shared" si="22"/>
        <v>3000.0000000000027</v>
      </c>
      <c r="AD106" s="25">
        <f t="shared" ca="1" si="36"/>
        <v>84.744653709958556</v>
      </c>
      <c r="AE106" s="25">
        <f t="shared" ca="1" si="29"/>
        <v>5.2667461073364095</v>
      </c>
      <c r="AF106" s="25">
        <f t="shared" ca="1" si="30"/>
        <v>446.32857504449623</v>
      </c>
      <c r="AG106" s="25">
        <f ca="1">1+SUM(AD$8:AD105)</f>
        <v>6491.4380596284445</v>
      </c>
      <c r="AH106" s="25">
        <f t="shared" ca="1" si="33"/>
        <v>11.98559163073736</v>
      </c>
      <c r="AI106" s="25">
        <f t="shared" ca="1" si="34"/>
        <v>11.98559163073736</v>
      </c>
      <c r="AK106" s="25">
        <f t="shared" ca="1" si="31"/>
        <v>62.467946821279554</v>
      </c>
      <c r="AL106" s="25">
        <f t="shared" ca="1" si="35"/>
        <v>62.467946821279554</v>
      </c>
      <c r="AM106">
        <f t="shared" ca="1" si="32"/>
        <v>5.2667461073364095</v>
      </c>
    </row>
    <row r="107" spans="7:39" ht="17.25" thickTop="1" thickBot="1" x14ac:dyDescent="0.3">
      <c r="G107">
        <f t="shared" si="26"/>
        <v>9.9000000000000074E-2</v>
      </c>
      <c r="H107" s="25">
        <f t="shared" si="21"/>
        <v>1.5129545967097777</v>
      </c>
      <c r="J107">
        <f t="shared" si="23"/>
        <v>0.11358388676483096</v>
      </c>
      <c r="X107" s="1">
        <f t="shared" si="27"/>
        <v>99</v>
      </c>
      <c r="Y107" s="29" cm="1">
        <f t="array" ref="Y107">INDEX(J$8:J$1504,Z107) +(X107-INDEX(H$8:H$1504,Z107))*(INDEX(J$8:J$1504,Z107+1)-INDEX(J$8:J$1504,Z107))/(INDEX(H$8:H$1504,Z107+1)-INDEX(H$8:H$1504,Z107))</f>
        <v>3.4771212547196626</v>
      </c>
      <c r="Z107" s="1">
        <f t="shared" si="24"/>
        <v>1050</v>
      </c>
      <c r="AA107" s="13"/>
      <c r="AB107" s="32">
        <f t="shared" si="28"/>
        <v>99</v>
      </c>
      <c r="AC107" s="25">
        <f t="shared" si="22"/>
        <v>3000.0000000000027</v>
      </c>
      <c r="AD107" s="25">
        <f t="shared" ca="1" si="36"/>
        <v>98.523529931743525</v>
      </c>
      <c r="AE107" s="25">
        <f t="shared" ca="1" si="29"/>
        <v>5.2563727667474929</v>
      </c>
      <c r="AF107" s="25">
        <f t="shared" ca="1" si="30"/>
        <v>517.87639961704815</v>
      </c>
      <c r="AG107" s="25">
        <f ca="1">1+SUM(AD$8:AD106)</f>
        <v>6576.1827133384031</v>
      </c>
      <c r="AH107" s="25">
        <f t="shared" ca="1" si="33"/>
        <v>13.778876221784969</v>
      </c>
      <c r="AI107" s="25">
        <f t="shared" ca="1" si="34"/>
        <v>13.778876221784969</v>
      </c>
      <c r="AK107" s="25">
        <f t="shared" ca="1" si="31"/>
        <v>71.547824572551917</v>
      </c>
      <c r="AL107" s="25">
        <f t="shared" ca="1" si="35"/>
        <v>71.547824572551917</v>
      </c>
      <c r="AM107">
        <f t="shared" ca="1" si="32"/>
        <v>5.2563727667474929</v>
      </c>
    </row>
    <row r="108" spans="7:39" ht="17.25" thickTop="1" thickBot="1" x14ac:dyDescent="0.3">
      <c r="G108">
        <f t="shared" si="26"/>
        <v>0.10000000000000007</v>
      </c>
      <c r="H108" s="25">
        <f t="shared" si="21"/>
        <v>1.5397957708509171</v>
      </c>
      <c r="J108">
        <f t="shared" si="23"/>
        <v>0.1155953987367931</v>
      </c>
      <c r="X108" s="1">
        <f t="shared" si="27"/>
        <v>100</v>
      </c>
      <c r="Y108" s="29" cm="1">
        <f t="array" ref="Y108">INDEX(J$8:J$1504,Z108) +(X108-INDEX(H$8:H$1504,Z108))*(INDEX(J$8:J$1504,Z108+1)-INDEX(J$8:J$1504,Z108))/(INDEX(H$8:H$1504,Z108+1)-INDEX(H$8:H$1504,Z108))</f>
        <v>3.4771212547196626</v>
      </c>
      <c r="Z108" s="1">
        <f t="shared" si="24"/>
        <v>1051</v>
      </c>
      <c r="AA108" s="13"/>
      <c r="AB108" s="32">
        <f t="shared" si="28"/>
        <v>100</v>
      </c>
      <c r="AC108" s="25">
        <f t="shared" si="22"/>
        <v>3000.0000000000027</v>
      </c>
      <c r="AD108" s="25">
        <f t="shared" ca="1" si="36"/>
        <v>114.29471019543648</v>
      </c>
      <c r="AE108" s="25">
        <f t="shared" ca="1" si="29"/>
        <v>5.2445046780469786</v>
      </c>
      <c r="AF108" s="25">
        <f t="shared" ca="1" si="30"/>
        <v>599.41914229599035</v>
      </c>
      <c r="AG108" s="25">
        <f ca="1">1+SUM(AD$8:AD107)</f>
        <v>6674.7062432701468</v>
      </c>
      <c r="AH108" s="25">
        <f t="shared" ca="1" si="33"/>
        <v>15.771180263692955</v>
      </c>
      <c r="AI108" s="25">
        <f t="shared" ca="1" si="34"/>
        <v>15.771180263692955</v>
      </c>
      <c r="AK108" s="25">
        <f t="shared" ca="1" si="31"/>
        <v>81.542742678942204</v>
      </c>
      <c r="AL108" s="25">
        <f t="shared" ca="1" si="35"/>
        <v>81.542742678942204</v>
      </c>
      <c r="AM108">
        <f t="shared" ca="1" si="32"/>
        <v>5.2445046780469786</v>
      </c>
    </row>
    <row r="109" spans="7:39" ht="15.75" thickTop="1" x14ac:dyDescent="0.25">
      <c r="G109">
        <f t="shared" si="26"/>
        <v>0.10100000000000008</v>
      </c>
      <c r="H109" s="25">
        <f t="shared" si="21"/>
        <v>1.5668508263547618</v>
      </c>
      <c r="J109">
        <f t="shared" si="23"/>
        <v>0.11762283542889819</v>
      </c>
    </row>
    <row r="110" spans="7:39" x14ac:dyDescent="0.25">
      <c r="G110">
        <f t="shared" si="26"/>
        <v>0.10200000000000008</v>
      </c>
      <c r="H110" s="25">
        <f t="shared" si="21"/>
        <v>1.5941192495165535</v>
      </c>
      <c r="J110">
        <f t="shared" si="23"/>
        <v>0.11966615646650626</v>
      </c>
    </row>
    <row r="111" spans="7:39" x14ac:dyDescent="0.25">
      <c r="G111">
        <f t="shared" si="26"/>
        <v>0.10300000000000008</v>
      </c>
      <c r="H111" s="25">
        <f t="shared" si="21"/>
        <v>1.621600526631535</v>
      </c>
      <c r="J111">
        <f t="shared" si="23"/>
        <v>0.12172532147497733</v>
      </c>
    </row>
    <row r="112" spans="7:39" x14ac:dyDescent="0.25">
      <c r="G112">
        <f t="shared" si="26"/>
        <v>0.10400000000000008</v>
      </c>
      <c r="H112" s="25">
        <f t="shared" si="21"/>
        <v>1.6492941439949482</v>
      </c>
      <c r="J112">
        <f t="shared" si="23"/>
        <v>0.12380029007967146</v>
      </c>
    </row>
    <row r="113" spans="7:10" x14ac:dyDescent="0.25">
      <c r="G113">
        <f t="shared" si="26"/>
        <v>0.10500000000000008</v>
      </c>
      <c r="H113" s="25">
        <f t="shared" si="21"/>
        <v>1.6771995879020356</v>
      </c>
      <c r="J113">
        <f t="shared" si="23"/>
        <v>0.12589102190594861</v>
      </c>
    </row>
    <row r="114" spans="7:10" x14ac:dyDescent="0.25">
      <c r="G114">
        <f t="shared" si="26"/>
        <v>0.10600000000000008</v>
      </c>
      <c r="H114" s="25">
        <f t="shared" si="21"/>
        <v>1.7053163446480393</v>
      </c>
      <c r="J114">
        <f t="shared" si="23"/>
        <v>0.12799747657916885</v>
      </c>
    </row>
    <row r="115" spans="7:10" x14ac:dyDescent="0.25">
      <c r="G115">
        <f t="shared" si="26"/>
        <v>0.10700000000000008</v>
      </c>
      <c r="H115" s="25">
        <f t="shared" si="21"/>
        <v>1.7336439005282021</v>
      </c>
      <c r="J115">
        <f t="shared" si="23"/>
        <v>0.13011961372469219</v>
      </c>
    </row>
    <row r="116" spans="7:10" x14ac:dyDescent="0.25">
      <c r="G116">
        <f t="shared" si="26"/>
        <v>0.10800000000000008</v>
      </c>
      <c r="H116" s="25">
        <f t="shared" si="21"/>
        <v>1.7621817418377659</v>
      </c>
      <c r="J116">
        <f t="shared" si="23"/>
        <v>0.13225739296787867</v>
      </c>
    </row>
    <row r="117" spans="7:10" x14ac:dyDescent="0.25">
      <c r="G117">
        <f t="shared" si="26"/>
        <v>0.10900000000000008</v>
      </c>
      <c r="H117" s="25">
        <f t="shared" si="21"/>
        <v>1.7909293548719727</v>
      </c>
      <c r="J117">
        <f t="shared" si="23"/>
        <v>0.13441077393408829</v>
      </c>
    </row>
    <row r="118" spans="7:10" x14ac:dyDescent="0.25">
      <c r="G118">
        <f t="shared" si="26"/>
        <v>0.11000000000000008</v>
      </c>
      <c r="H118" s="25">
        <f t="shared" si="21"/>
        <v>1.8198862259260653</v>
      </c>
      <c r="J118">
        <f t="shared" si="23"/>
        <v>0.13657971624868115</v>
      </c>
    </row>
    <row r="119" spans="7:10" x14ac:dyDescent="0.25">
      <c r="G119">
        <f t="shared" si="26"/>
        <v>0.11100000000000008</v>
      </c>
      <c r="H119" s="25">
        <f t="shared" si="21"/>
        <v>1.8490518412952857</v>
      </c>
      <c r="J119">
        <f t="shared" si="23"/>
        <v>0.13876417953701717</v>
      </c>
    </row>
    <row r="120" spans="7:10" x14ac:dyDescent="0.25">
      <c r="G120">
        <f t="shared" si="26"/>
        <v>0.11200000000000009</v>
      </c>
      <c r="H120" s="25">
        <f t="shared" si="21"/>
        <v>1.8784256872748761</v>
      </c>
      <c r="J120">
        <f t="shared" si="23"/>
        <v>0.14096412342445638</v>
      </c>
    </row>
    <row r="121" spans="7:10" x14ac:dyDescent="0.25">
      <c r="G121">
        <f t="shared" si="26"/>
        <v>0.11300000000000009</v>
      </c>
      <c r="H121" s="25">
        <f t="shared" si="21"/>
        <v>1.9080072501600793</v>
      </c>
      <c r="J121">
        <f t="shared" si="23"/>
        <v>0.14317950753635889</v>
      </c>
    </row>
    <row r="122" spans="7:10" x14ac:dyDescent="0.25">
      <c r="G122">
        <f t="shared" si="26"/>
        <v>0.11400000000000009</v>
      </c>
      <c r="H122" s="25">
        <f t="shared" si="21"/>
        <v>1.937796016246137</v>
      </c>
      <c r="J122">
        <f t="shared" si="23"/>
        <v>0.14541029149808465</v>
      </c>
    </row>
    <row r="123" spans="7:10" x14ac:dyDescent="0.25">
      <c r="G123">
        <f t="shared" si="26"/>
        <v>0.11500000000000009</v>
      </c>
      <c r="H123" s="25">
        <f t="shared" si="21"/>
        <v>1.9677914718282916</v>
      </c>
      <c r="J123">
        <f t="shared" si="23"/>
        <v>0.14765643493499375</v>
      </c>
    </row>
    <row r="124" spans="7:10" x14ac:dyDescent="0.25">
      <c r="G124">
        <f t="shared" si="26"/>
        <v>0.11600000000000009</v>
      </c>
      <c r="H124" s="25">
        <f t="shared" si="21"/>
        <v>1.9979931032017859</v>
      </c>
      <c r="J124">
        <f t="shared" si="23"/>
        <v>0.14991789747244619</v>
      </c>
    </row>
    <row r="125" spans="7:10" x14ac:dyDescent="0.25">
      <c r="G125">
        <f t="shared" si="26"/>
        <v>0.11700000000000009</v>
      </c>
      <c r="H125" s="25">
        <f t="shared" si="21"/>
        <v>2.0284003966618611</v>
      </c>
      <c r="J125">
        <f t="shared" si="23"/>
        <v>0.152194638735802</v>
      </c>
    </row>
    <row r="126" spans="7:10" x14ac:dyDescent="0.25">
      <c r="G126">
        <f t="shared" si="26"/>
        <v>0.11800000000000009</v>
      </c>
      <c r="H126" s="25">
        <f t="shared" si="21"/>
        <v>2.0590128385037612</v>
      </c>
      <c r="J126">
        <f t="shared" si="23"/>
        <v>0.15448661835042113</v>
      </c>
    </row>
    <row r="127" spans="7:10" x14ac:dyDescent="0.25">
      <c r="G127">
        <f t="shared" si="26"/>
        <v>0.11900000000000009</v>
      </c>
      <c r="H127" s="25">
        <f t="shared" si="21"/>
        <v>2.0898299150227264</v>
      </c>
      <c r="J127">
        <f t="shared" si="23"/>
        <v>0.15679379594166371</v>
      </c>
    </row>
    <row r="128" spans="7:10" x14ac:dyDescent="0.25">
      <c r="G128">
        <f t="shared" si="26"/>
        <v>0.12000000000000009</v>
      </c>
      <c r="H128" s="25">
        <f t="shared" si="21"/>
        <v>2.1208511125140008</v>
      </c>
      <c r="J128">
        <f t="shared" si="23"/>
        <v>0.1591161311348897</v>
      </c>
    </row>
    <row r="129" spans="7:10" x14ac:dyDescent="0.25">
      <c r="G129">
        <f t="shared" si="26"/>
        <v>0.12100000000000009</v>
      </c>
      <c r="H129" s="25">
        <f t="shared" si="21"/>
        <v>2.1520759172728257</v>
      </c>
      <c r="J129">
        <f t="shared" si="23"/>
        <v>0.16145358355545913</v>
      </c>
    </row>
    <row r="130" spans="7:10" x14ac:dyDescent="0.25">
      <c r="G130">
        <f t="shared" si="26"/>
        <v>0.12200000000000009</v>
      </c>
      <c r="H130" s="25">
        <f t="shared" si="21"/>
        <v>2.1835038155944435</v>
      </c>
      <c r="J130">
        <f t="shared" si="23"/>
        <v>0.16380611282873206</v>
      </c>
    </row>
    <row r="131" spans="7:10" x14ac:dyDescent="0.25">
      <c r="G131">
        <f t="shared" si="26"/>
        <v>0.1230000000000001</v>
      </c>
      <c r="H131" s="25">
        <f t="shared" si="21"/>
        <v>2.2151342937740965</v>
      </c>
      <c r="J131">
        <f t="shared" si="23"/>
        <v>0.16617367858006851</v>
      </c>
    </row>
    <row r="132" spans="7:10" x14ac:dyDescent="0.25">
      <c r="G132">
        <f t="shared" si="26"/>
        <v>0.1240000000000001</v>
      </c>
      <c r="H132" s="25">
        <f t="shared" si="21"/>
        <v>2.2469668381070278</v>
      </c>
      <c r="J132">
        <f t="shared" si="23"/>
        <v>0.1685562404348285</v>
      </c>
    </row>
    <row r="133" spans="7:10" x14ac:dyDescent="0.25">
      <c r="G133">
        <f t="shared" si="26"/>
        <v>0.12500000000000008</v>
      </c>
      <c r="H133" s="25">
        <f t="shared" si="21"/>
        <v>2.2790009348884777</v>
      </c>
      <c r="J133">
        <f t="shared" si="23"/>
        <v>0.17095375801837198</v>
      </c>
    </row>
    <row r="134" spans="7:10" x14ac:dyDescent="0.25">
      <c r="G134">
        <f t="shared" si="26"/>
        <v>0.12600000000000008</v>
      </c>
      <c r="H134" s="25">
        <f t="shared" si="21"/>
        <v>2.3112360704136909</v>
      </c>
      <c r="J134">
        <f t="shared" si="23"/>
        <v>0.17336619095605915</v>
      </c>
    </row>
    <row r="135" spans="7:10" x14ac:dyDescent="0.25">
      <c r="G135">
        <f t="shared" si="26"/>
        <v>0.12700000000000009</v>
      </c>
      <c r="H135" s="25">
        <f t="shared" si="21"/>
        <v>2.3436717309779076</v>
      </c>
      <c r="J135">
        <f t="shared" si="23"/>
        <v>0.17579349887324988</v>
      </c>
    </row>
    <row r="136" spans="7:10" x14ac:dyDescent="0.25">
      <c r="G136">
        <f t="shared" si="26"/>
        <v>0.12800000000000009</v>
      </c>
      <c r="H136" s="25">
        <f t="shared" ref="H136:H199" si="37">$D$8*(1-G136)^3+3*$D$9*G136*(1-G136)^2+3*$D$10*(G136)^2*(1-G136)+(G136^3*$D$11)</f>
        <v>2.376307402876372</v>
      </c>
      <c r="J136">
        <f t="shared" si="23"/>
        <v>0.17823564139530423</v>
      </c>
    </row>
    <row r="137" spans="7:10" x14ac:dyDescent="0.25">
      <c r="G137">
        <f t="shared" si="26"/>
        <v>0.12900000000000009</v>
      </c>
      <c r="H137" s="25">
        <f t="shared" si="37"/>
        <v>2.4091425724043249</v>
      </c>
      <c r="J137">
        <f t="shared" ref="J137:J200" si="38">$E$8*(1-G137)^3+3*$E$9*G137*(1-G137)^2+3*$E$10*(G137)^2*(1-G137)+(G137^3*$E$11)</f>
        <v>0.18069257814758224</v>
      </c>
    </row>
    <row r="138" spans="7:10" x14ac:dyDescent="0.25">
      <c r="G138">
        <f t="shared" ref="G138:G201" si="39">G137+0.001</f>
        <v>0.13000000000000009</v>
      </c>
      <c r="H138" s="25">
        <f t="shared" si="37"/>
        <v>2.4421767258570091</v>
      </c>
      <c r="J138">
        <f t="shared" si="38"/>
        <v>0.18316426875544395</v>
      </c>
    </row>
    <row r="139" spans="7:10" x14ac:dyDescent="0.25">
      <c r="G139">
        <f t="shared" si="39"/>
        <v>0.13100000000000009</v>
      </c>
      <c r="H139" s="25">
        <f t="shared" si="37"/>
        <v>2.4754093495296674</v>
      </c>
      <c r="J139">
        <f t="shared" si="38"/>
        <v>0.18565067284424935</v>
      </c>
    </row>
    <row r="140" spans="7:10" x14ac:dyDescent="0.25">
      <c r="G140">
        <f t="shared" si="39"/>
        <v>0.13200000000000009</v>
      </c>
      <c r="H140" s="25">
        <f t="shared" si="37"/>
        <v>2.5088399297175403</v>
      </c>
      <c r="J140">
        <f t="shared" si="38"/>
        <v>0.1881517500393585</v>
      </c>
    </row>
    <row r="141" spans="7:10" x14ac:dyDescent="0.25">
      <c r="G141">
        <f t="shared" si="39"/>
        <v>0.13300000000000009</v>
      </c>
      <c r="H141" s="25">
        <f t="shared" si="37"/>
        <v>2.5424679527158727</v>
      </c>
      <c r="J141">
        <f t="shared" si="38"/>
        <v>0.19066745996613141</v>
      </c>
    </row>
    <row r="142" spans="7:10" x14ac:dyDescent="0.25">
      <c r="G142">
        <f t="shared" si="39"/>
        <v>0.13400000000000009</v>
      </c>
      <c r="H142" s="25">
        <f t="shared" si="37"/>
        <v>2.5762929048199044</v>
      </c>
      <c r="J142">
        <f t="shared" si="38"/>
        <v>0.1931977622499281</v>
      </c>
    </row>
    <row r="143" spans="7:10" x14ac:dyDescent="0.25">
      <c r="G143">
        <f t="shared" si="39"/>
        <v>0.13500000000000009</v>
      </c>
      <c r="H143" s="25">
        <f t="shared" si="37"/>
        <v>2.6103142723248798</v>
      </c>
      <c r="J143">
        <f t="shared" si="38"/>
        <v>0.19574261651610858</v>
      </c>
    </row>
    <row r="144" spans="7:10" x14ac:dyDescent="0.25">
      <c r="G144">
        <f t="shared" si="39"/>
        <v>0.13600000000000009</v>
      </c>
      <c r="H144" s="25">
        <f t="shared" si="37"/>
        <v>2.6445315415260398</v>
      </c>
      <c r="J144">
        <f t="shared" si="38"/>
        <v>0.19830198239003291</v>
      </c>
    </row>
    <row r="145" spans="7:10" x14ac:dyDescent="0.25">
      <c r="G145">
        <f t="shared" si="39"/>
        <v>0.13700000000000009</v>
      </c>
      <c r="H145" s="25">
        <f t="shared" si="37"/>
        <v>2.6789441987186269</v>
      </c>
      <c r="J145">
        <f t="shared" si="38"/>
        <v>0.20087581949706113</v>
      </c>
    </row>
    <row r="146" spans="7:10" x14ac:dyDescent="0.25">
      <c r="G146">
        <f t="shared" si="39"/>
        <v>0.13800000000000009</v>
      </c>
      <c r="H146" s="25">
        <f t="shared" si="37"/>
        <v>2.7135517301978842</v>
      </c>
      <c r="J146">
        <f t="shared" si="38"/>
        <v>0.20346408746255323</v>
      </c>
    </row>
    <row r="147" spans="7:10" x14ac:dyDescent="0.25">
      <c r="G147">
        <f t="shared" si="39"/>
        <v>0.1390000000000001</v>
      </c>
      <c r="H147" s="25">
        <f t="shared" si="37"/>
        <v>2.7483536222590526</v>
      </c>
      <c r="J147">
        <f t="shared" si="38"/>
        <v>0.20606674591186919</v>
      </c>
    </row>
    <row r="148" spans="7:10" x14ac:dyDescent="0.25">
      <c r="G148">
        <f t="shared" si="39"/>
        <v>0.1400000000000001</v>
      </c>
      <c r="H148" s="25">
        <f t="shared" si="37"/>
        <v>2.7833493611973759</v>
      </c>
      <c r="J148">
        <f t="shared" si="38"/>
        <v>0.20868375447036913</v>
      </c>
    </row>
    <row r="149" spans="7:10" x14ac:dyDescent="0.25">
      <c r="G149">
        <f t="shared" si="39"/>
        <v>0.1410000000000001</v>
      </c>
      <c r="H149" s="25">
        <f t="shared" si="37"/>
        <v>2.8185384333080949</v>
      </c>
      <c r="J149">
        <f t="shared" si="38"/>
        <v>0.21131507276341299</v>
      </c>
    </row>
    <row r="150" spans="7:10" x14ac:dyDescent="0.25">
      <c r="G150">
        <f t="shared" si="39"/>
        <v>0.1420000000000001</v>
      </c>
      <c r="H150" s="25">
        <f t="shared" si="37"/>
        <v>2.8539203248864533</v>
      </c>
      <c r="J150">
        <f t="shared" si="38"/>
        <v>0.21396066041636089</v>
      </c>
    </row>
    <row r="151" spans="7:10" x14ac:dyDescent="0.25">
      <c r="G151">
        <f t="shared" si="39"/>
        <v>0.1430000000000001</v>
      </c>
      <c r="H151" s="25">
        <f t="shared" si="37"/>
        <v>2.8894945222276927</v>
      </c>
      <c r="J151">
        <f t="shared" si="38"/>
        <v>0.21662047705457277</v>
      </c>
    </row>
    <row r="152" spans="7:10" x14ac:dyDescent="0.25">
      <c r="G152">
        <f t="shared" si="39"/>
        <v>0.1440000000000001</v>
      </c>
      <c r="H152" s="25">
        <f t="shared" si="37"/>
        <v>2.9252605116270547</v>
      </c>
      <c r="J152">
        <f t="shared" si="38"/>
        <v>0.2192944823034087</v>
      </c>
    </row>
    <row r="153" spans="7:10" x14ac:dyDescent="0.25">
      <c r="G153">
        <f t="shared" si="39"/>
        <v>0.1450000000000001</v>
      </c>
      <c r="H153" s="25">
        <f t="shared" si="37"/>
        <v>2.9612177793797825</v>
      </c>
      <c r="J153">
        <f t="shared" si="38"/>
        <v>0.22198263578822869</v>
      </c>
    </row>
    <row r="154" spans="7:10" x14ac:dyDescent="0.25">
      <c r="G154">
        <f t="shared" si="39"/>
        <v>0.1460000000000001</v>
      </c>
      <c r="H154" s="25">
        <f t="shared" si="37"/>
        <v>2.9973658117811182</v>
      </c>
      <c r="J154">
        <f t="shared" si="38"/>
        <v>0.22468489713439274</v>
      </c>
    </row>
    <row r="155" spans="7:10" x14ac:dyDescent="0.25">
      <c r="G155">
        <f t="shared" si="39"/>
        <v>0.1470000000000001</v>
      </c>
      <c r="H155" s="25">
        <f t="shared" si="37"/>
        <v>3.0337040951263043</v>
      </c>
      <c r="J155">
        <f t="shared" si="38"/>
        <v>0.22740122596726092</v>
      </c>
    </row>
    <row r="156" spans="7:10" x14ac:dyDescent="0.25">
      <c r="G156">
        <f t="shared" si="39"/>
        <v>0.1480000000000001</v>
      </c>
      <c r="H156" s="25">
        <f t="shared" si="37"/>
        <v>3.0702321157105827</v>
      </c>
      <c r="J156">
        <f t="shared" si="38"/>
        <v>0.23013158191219324</v>
      </c>
    </row>
    <row r="157" spans="7:10" x14ac:dyDescent="0.25">
      <c r="G157">
        <f t="shared" si="39"/>
        <v>0.1490000000000001</v>
      </c>
      <c r="H157" s="25">
        <f t="shared" si="37"/>
        <v>3.1069493598291955</v>
      </c>
      <c r="J157">
        <f t="shared" si="38"/>
        <v>0.2328759245945497</v>
      </c>
    </row>
    <row r="158" spans="7:10" x14ac:dyDescent="0.25">
      <c r="G158">
        <f t="shared" si="39"/>
        <v>0.15000000000000011</v>
      </c>
      <c r="H158" s="25">
        <f t="shared" si="37"/>
        <v>3.1438553137773853</v>
      </c>
      <c r="J158">
        <f t="shared" si="38"/>
        <v>0.23563421363969039</v>
      </c>
    </row>
    <row r="159" spans="7:10" x14ac:dyDescent="0.25">
      <c r="G159">
        <f t="shared" si="39"/>
        <v>0.15100000000000011</v>
      </c>
      <c r="H159" s="25">
        <f t="shared" si="37"/>
        <v>3.180949463850395</v>
      </c>
      <c r="J159">
        <f t="shared" si="38"/>
        <v>0.23840640867297527</v>
      </c>
    </row>
    <row r="160" spans="7:10" x14ac:dyDescent="0.25">
      <c r="G160">
        <f t="shared" si="39"/>
        <v>0.15200000000000011</v>
      </c>
      <c r="H160" s="25">
        <f t="shared" si="37"/>
        <v>3.2182312963434661</v>
      </c>
      <c r="J160">
        <f t="shared" si="38"/>
        <v>0.24119246931976443</v>
      </c>
    </row>
    <row r="161" spans="7:10" x14ac:dyDescent="0.25">
      <c r="G161">
        <f t="shared" si="39"/>
        <v>0.15300000000000011</v>
      </c>
      <c r="H161" s="25">
        <f t="shared" si="37"/>
        <v>3.255700297551841</v>
      </c>
      <c r="J161">
        <f t="shared" si="38"/>
        <v>0.24399235520541782</v>
      </c>
    </row>
    <row r="162" spans="7:10" x14ac:dyDescent="0.25">
      <c r="G162">
        <f t="shared" si="39"/>
        <v>0.15400000000000011</v>
      </c>
      <c r="H162" s="25">
        <f t="shared" si="37"/>
        <v>3.2933559537707615</v>
      </c>
      <c r="J162">
        <f t="shared" si="38"/>
        <v>0.24680602595529544</v>
      </c>
    </row>
    <row r="163" spans="7:10" x14ac:dyDescent="0.25">
      <c r="G163">
        <f t="shared" si="39"/>
        <v>0.15500000000000011</v>
      </c>
      <c r="H163" s="25">
        <f t="shared" si="37"/>
        <v>3.3311977512954707</v>
      </c>
      <c r="J163">
        <f t="shared" si="38"/>
        <v>0.24963344119475739</v>
      </c>
    </row>
    <row r="164" spans="7:10" x14ac:dyDescent="0.25">
      <c r="G164">
        <f t="shared" si="39"/>
        <v>0.15600000000000011</v>
      </c>
      <c r="H164" s="25">
        <f t="shared" si="37"/>
        <v>3.3692251764212111</v>
      </c>
      <c r="J164">
        <f t="shared" si="38"/>
        <v>0.25247456054916373</v>
      </c>
    </row>
    <row r="165" spans="7:10" x14ac:dyDescent="0.25">
      <c r="G165">
        <f t="shared" si="39"/>
        <v>0.15700000000000011</v>
      </c>
      <c r="H165" s="25">
        <f t="shared" si="37"/>
        <v>3.407437715443224</v>
      </c>
      <c r="J165">
        <f t="shared" si="38"/>
        <v>0.25532934364387444</v>
      </c>
    </row>
    <row r="166" spans="7:10" x14ac:dyDescent="0.25">
      <c r="G166">
        <f t="shared" si="39"/>
        <v>0.15800000000000011</v>
      </c>
      <c r="H166" s="25">
        <f t="shared" si="37"/>
        <v>3.4458348546567521</v>
      </c>
      <c r="J166">
        <f t="shared" si="38"/>
        <v>0.2581977501042495</v>
      </c>
    </row>
    <row r="167" spans="7:10" x14ac:dyDescent="0.25">
      <c r="G167">
        <f t="shared" si="39"/>
        <v>0.15900000000000011</v>
      </c>
      <c r="H167" s="25">
        <f t="shared" si="37"/>
        <v>3.4844160803570383</v>
      </c>
      <c r="J167">
        <f t="shared" si="38"/>
        <v>0.26107973955564895</v>
      </c>
    </row>
    <row r="168" spans="7:10" x14ac:dyDescent="0.25">
      <c r="G168">
        <f t="shared" si="39"/>
        <v>0.16000000000000011</v>
      </c>
      <c r="H168" s="25">
        <f t="shared" si="37"/>
        <v>3.523180878839324</v>
      </c>
      <c r="J168">
        <f t="shared" si="38"/>
        <v>0.26397527162343293</v>
      </c>
    </row>
    <row r="169" spans="7:10" x14ac:dyDescent="0.25">
      <c r="G169">
        <f t="shared" si="39"/>
        <v>0.16100000000000012</v>
      </c>
      <c r="H169" s="25">
        <f t="shared" si="37"/>
        <v>3.5621287363988525</v>
      </c>
      <c r="J169">
        <f t="shared" si="38"/>
        <v>0.26688430593296136</v>
      </c>
    </row>
    <row r="170" spans="7:10" x14ac:dyDescent="0.25">
      <c r="G170">
        <f t="shared" si="39"/>
        <v>0.16200000000000012</v>
      </c>
      <c r="H170" s="25">
        <f t="shared" si="37"/>
        <v>3.6012591393308648</v>
      </c>
      <c r="J170">
        <f t="shared" si="38"/>
        <v>0.26980680210959423</v>
      </c>
    </row>
    <row r="171" spans="7:10" x14ac:dyDescent="0.25">
      <c r="G171">
        <f t="shared" si="39"/>
        <v>0.16300000000000012</v>
      </c>
      <c r="H171" s="25">
        <f t="shared" si="37"/>
        <v>3.640571573930603</v>
      </c>
      <c r="J171">
        <f t="shared" si="38"/>
        <v>0.27274271977869158</v>
      </c>
    </row>
    <row r="172" spans="7:10" x14ac:dyDescent="0.25">
      <c r="G172">
        <f t="shared" si="39"/>
        <v>0.16400000000000012</v>
      </c>
      <c r="H172" s="25">
        <f t="shared" si="37"/>
        <v>3.6800655264933115</v>
      </c>
      <c r="J172">
        <f t="shared" si="38"/>
        <v>0.27569201856561359</v>
      </c>
    </row>
    <row r="173" spans="7:10" x14ac:dyDescent="0.25">
      <c r="G173">
        <f t="shared" si="39"/>
        <v>0.16500000000000012</v>
      </c>
      <c r="H173" s="25">
        <f t="shared" si="37"/>
        <v>3.7197404833142311</v>
      </c>
      <c r="J173">
        <f t="shared" si="38"/>
        <v>0.2786546580957201</v>
      </c>
    </row>
    <row r="174" spans="7:10" x14ac:dyDescent="0.25">
      <c r="G174">
        <f t="shared" si="39"/>
        <v>0.16600000000000012</v>
      </c>
      <c r="H174" s="25">
        <f t="shared" si="37"/>
        <v>3.759595930688604</v>
      </c>
      <c r="J174">
        <f t="shared" si="38"/>
        <v>0.28163059799437118</v>
      </c>
    </row>
    <row r="175" spans="7:10" x14ac:dyDescent="0.25">
      <c r="G175">
        <f t="shared" si="39"/>
        <v>0.16700000000000012</v>
      </c>
      <c r="H175" s="25">
        <f t="shared" si="37"/>
        <v>3.7996313549116727</v>
      </c>
      <c r="J175">
        <f t="shared" si="38"/>
        <v>0.28461979788692682</v>
      </c>
    </row>
    <row r="176" spans="7:10" x14ac:dyDescent="0.25">
      <c r="G176">
        <f t="shared" si="39"/>
        <v>0.16800000000000012</v>
      </c>
      <c r="H176" s="25">
        <f t="shared" si="37"/>
        <v>3.8398462422786794</v>
      </c>
      <c r="J176">
        <f t="shared" si="38"/>
        <v>0.28762221739874722</v>
      </c>
    </row>
    <row r="177" spans="7:10" x14ac:dyDescent="0.25">
      <c r="G177">
        <f t="shared" si="39"/>
        <v>0.16900000000000012</v>
      </c>
      <c r="H177" s="25">
        <f t="shared" si="37"/>
        <v>3.8802400790848668</v>
      </c>
      <c r="J177">
        <f t="shared" si="38"/>
        <v>0.2906378161551923</v>
      </c>
    </row>
    <row r="178" spans="7:10" x14ac:dyDescent="0.25">
      <c r="G178">
        <f t="shared" si="39"/>
        <v>0.17000000000000012</v>
      </c>
      <c r="H178" s="25">
        <f t="shared" si="37"/>
        <v>3.920812351625476</v>
      </c>
      <c r="J178">
        <f t="shared" si="38"/>
        <v>0.29366655378162199</v>
      </c>
    </row>
    <row r="179" spans="7:10" x14ac:dyDescent="0.25">
      <c r="G179">
        <f t="shared" si="39"/>
        <v>0.17100000000000012</v>
      </c>
      <c r="H179" s="25">
        <f t="shared" si="37"/>
        <v>3.9615625461957515</v>
      </c>
      <c r="J179">
        <f t="shared" si="38"/>
        <v>0.29670838990339637</v>
      </c>
    </row>
    <row r="180" spans="7:10" x14ac:dyDescent="0.25">
      <c r="G180">
        <f t="shared" si="39"/>
        <v>0.17200000000000013</v>
      </c>
      <c r="H180" s="25">
        <f t="shared" si="37"/>
        <v>4.0024901490909341</v>
      </c>
      <c r="J180">
        <f t="shared" si="38"/>
        <v>0.29976328414587561</v>
      </c>
    </row>
    <row r="181" spans="7:10" x14ac:dyDescent="0.25">
      <c r="G181">
        <f t="shared" si="39"/>
        <v>0.17300000000000013</v>
      </c>
      <c r="H181" s="25">
        <f t="shared" si="37"/>
        <v>4.043594646606266</v>
      </c>
      <c r="J181">
        <f t="shared" si="38"/>
        <v>0.3028311961344195</v>
      </c>
    </row>
    <row r="182" spans="7:10" x14ac:dyDescent="0.25">
      <c r="G182">
        <f t="shared" si="39"/>
        <v>0.17400000000000013</v>
      </c>
      <c r="H182" s="25">
        <f t="shared" si="37"/>
        <v>4.0848755250369901</v>
      </c>
      <c r="J182">
        <f t="shared" si="38"/>
        <v>0.30591208549438825</v>
      </c>
    </row>
    <row r="183" spans="7:10" x14ac:dyDescent="0.25">
      <c r="G183">
        <f t="shared" si="39"/>
        <v>0.17500000000000013</v>
      </c>
      <c r="H183" s="25">
        <f t="shared" si="37"/>
        <v>4.1263322706783478</v>
      </c>
      <c r="J183">
        <f t="shared" si="38"/>
        <v>0.30900591185114185</v>
      </c>
    </row>
    <row r="184" spans="7:10" x14ac:dyDescent="0.25">
      <c r="G184">
        <f t="shared" si="39"/>
        <v>0.17600000000000013</v>
      </c>
      <c r="H184" s="25">
        <f t="shared" si="37"/>
        <v>4.1679643698255822</v>
      </c>
      <c r="J184">
        <f t="shared" si="38"/>
        <v>0.3121126348300402</v>
      </c>
    </row>
    <row r="185" spans="7:10" x14ac:dyDescent="0.25">
      <c r="G185">
        <f t="shared" si="39"/>
        <v>0.17700000000000013</v>
      </c>
      <c r="H185" s="25">
        <f t="shared" si="37"/>
        <v>4.2097713087739344</v>
      </c>
      <c r="J185">
        <f t="shared" si="38"/>
        <v>0.31523221405644347</v>
      </c>
    </row>
    <row r="186" spans="7:10" x14ac:dyDescent="0.25">
      <c r="G186">
        <f t="shared" si="39"/>
        <v>0.17800000000000013</v>
      </c>
      <c r="H186" s="25">
        <f t="shared" si="37"/>
        <v>4.2517525738186484</v>
      </c>
      <c r="J186">
        <f t="shared" si="38"/>
        <v>0.31836460915571158</v>
      </c>
    </row>
    <row r="187" spans="7:10" x14ac:dyDescent="0.25">
      <c r="G187">
        <f t="shared" si="39"/>
        <v>0.17900000000000013</v>
      </c>
      <c r="H187" s="25">
        <f t="shared" si="37"/>
        <v>4.2939076512549654</v>
      </c>
      <c r="J187">
        <f t="shared" si="38"/>
        <v>0.32150977975320466</v>
      </c>
    </row>
    <row r="188" spans="7:10" x14ac:dyDescent="0.25">
      <c r="G188">
        <f t="shared" si="39"/>
        <v>0.18000000000000013</v>
      </c>
      <c r="H188" s="25">
        <f t="shared" si="37"/>
        <v>4.3362360273781286</v>
      </c>
      <c r="J188">
        <f t="shared" si="38"/>
        <v>0.32466768547428265</v>
      </c>
    </row>
    <row r="189" spans="7:10" x14ac:dyDescent="0.25">
      <c r="G189">
        <f t="shared" si="39"/>
        <v>0.18100000000000013</v>
      </c>
      <c r="H189" s="25">
        <f t="shared" si="37"/>
        <v>4.3787371884833783</v>
      </c>
      <c r="J189">
        <f t="shared" si="38"/>
        <v>0.32783828594430564</v>
      </c>
    </row>
    <row r="190" spans="7:10" x14ac:dyDescent="0.25">
      <c r="G190">
        <f t="shared" si="39"/>
        <v>0.18200000000000013</v>
      </c>
      <c r="H190" s="25">
        <f t="shared" si="37"/>
        <v>4.4214106208659594</v>
      </c>
      <c r="J190">
        <f t="shared" si="38"/>
        <v>0.33102154078863361</v>
      </c>
    </row>
    <row r="191" spans="7:10" x14ac:dyDescent="0.25">
      <c r="G191">
        <f t="shared" si="39"/>
        <v>0.18300000000000013</v>
      </c>
      <c r="H191" s="25">
        <f t="shared" si="37"/>
        <v>4.4642558108211121</v>
      </c>
      <c r="J191">
        <f t="shared" si="38"/>
        <v>0.33421740963262658</v>
      </c>
    </row>
    <row r="192" spans="7:10" x14ac:dyDescent="0.25">
      <c r="G192">
        <f t="shared" si="39"/>
        <v>0.18400000000000014</v>
      </c>
      <c r="H192" s="25">
        <f t="shared" si="37"/>
        <v>4.5072722446440814</v>
      </c>
      <c r="J192">
        <f t="shared" si="38"/>
        <v>0.33742585210164472</v>
      </c>
    </row>
    <row r="193" spans="7:10" x14ac:dyDescent="0.25">
      <c r="G193">
        <f t="shared" si="39"/>
        <v>0.18500000000000014</v>
      </c>
      <c r="H193" s="25">
        <f t="shared" si="37"/>
        <v>4.5504594086301067</v>
      </c>
      <c r="J193">
        <f t="shared" si="38"/>
        <v>0.34064682782104777</v>
      </c>
    </row>
    <row r="194" spans="7:10" x14ac:dyDescent="0.25">
      <c r="G194">
        <f t="shared" si="39"/>
        <v>0.18600000000000014</v>
      </c>
      <c r="H194" s="25">
        <f t="shared" si="37"/>
        <v>4.5938167890744301</v>
      </c>
      <c r="J194">
        <f t="shared" si="38"/>
        <v>0.34388029641619594</v>
      </c>
    </row>
    <row r="195" spans="7:10" x14ac:dyDescent="0.25">
      <c r="G195">
        <f t="shared" si="39"/>
        <v>0.18700000000000014</v>
      </c>
      <c r="H195" s="25">
        <f t="shared" si="37"/>
        <v>4.6373438722722948</v>
      </c>
      <c r="J195">
        <f t="shared" si="38"/>
        <v>0.34712621751244926</v>
      </c>
    </row>
    <row r="196" spans="7:10" x14ac:dyDescent="0.25">
      <c r="G196">
        <f t="shared" si="39"/>
        <v>0.18800000000000014</v>
      </c>
      <c r="H196" s="25">
        <f t="shared" si="37"/>
        <v>4.6810401445189438</v>
      </c>
      <c r="J196">
        <f t="shared" si="38"/>
        <v>0.35038455073516772</v>
      </c>
    </row>
    <row r="197" spans="7:10" x14ac:dyDescent="0.25">
      <c r="G197">
        <f t="shared" si="39"/>
        <v>0.18900000000000014</v>
      </c>
      <c r="H197" s="25">
        <f t="shared" si="37"/>
        <v>4.724905092109621</v>
      </c>
      <c r="J197">
        <f t="shared" si="38"/>
        <v>0.3536552557097114</v>
      </c>
    </row>
    <row r="198" spans="7:10" x14ac:dyDescent="0.25">
      <c r="G198">
        <f t="shared" si="39"/>
        <v>0.19000000000000014</v>
      </c>
      <c r="H198" s="25">
        <f t="shared" si="37"/>
        <v>4.7689382013395649</v>
      </c>
      <c r="J198">
        <f t="shared" si="38"/>
        <v>0.35693829206144023</v>
      </c>
    </row>
    <row r="199" spans="7:10" x14ac:dyDescent="0.25">
      <c r="G199">
        <f t="shared" si="39"/>
        <v>0.19100000000000014</v>
      </c>
      <c r="H199" s="25">
        <f t="shared" si="37"/>
        <v>4.8131389585040196</v>
      </c>
      <c r="J199">
        <f t="shared" si="38"/>
        <v>0.36023361941571425</v>
      </c>
    </row>
    <row r="200" spans="7:10" x14ac:dyDescent="0.25">
      <c r="G200">
        <f t="shared" si="39"/>
        <v>0.19200000000000014</v>
      </c>
      <c r="H200" s="25">
        <f t="shared" ref="H200:H263" si="40">$D$8*(1-G200)^3+3*$D$9*G200*(1-G200)^2+3*$D$10*(G200)^2*(1-G200)+(G200^3*$D$11)</f>
        <v>4.8575068498982272</v>
      </c>
      <c r="J200">
        <f t="shared" si="38"/>
        <v>0.36354119739789359</v>
      </c>
    </row>
    <row r="201" spans="7:10" x14ac:dyDescent="0.25">
      <c r="G201">
        <f t="shared" si="39"/>
        <v>0.19300000000000014</v>
      </c>
      <c r="H201" s="25">
        <f t="shared" si="40"/>
        <v>4.9020413618174299</v>
      </c>
      <c r="J201">
        <f t="shared" ref="J201:J264" si="41">$E$8*(1-G201)^3+3*$E$9*G201*(1-G201)^2+3*$E$10*(G201)^2*(1-G201)+(G201^3*$E$11)</f>
        <v>0.36686098563333813</v>
      </c>
    </row>
    <row r="202" spans="7:10" x14ac:dyDescent="0.25">
      <c r="G202">
        <f t="shared" ref="G202:G265" si="42">G201+0.001</f>
        <v>0.19400000000000014</v>
      </c>
      <c r="H202" s="25">
        <f t="shared" si="40"/>
        <v>4.9467419805568706</v>
      </c>
      <c r="J202">
        <f t="shared" si="41"/>
        <v>0.37019294374740802</v>
      </c>
    </row>
    <row r="203" spans="7:10" x14ac:dyDescent="0.25">
      <c r="G203">
        <f t="shared" si="42"/>
        <v>0.19500000000000015</v>
      </c>
      <c r="H203" s="25">
        <f t="shared" si="40"/>
        <v>4.9916081924117917</v>
      </c>
      <c r="J203">
        <f t="shared" si="41"/>
        <v>0.37353703136546318</v>
      </c>
    </row>
    <row r="204" spans="7:10" x14ac:dyDescent="0.25">
      <c r="G204">
        <f t="shared" si="42"/>
        <v>0.19600000000000015</v>
      </c>
      <c r="H204" s="25">
        <f t="shared" si="40"/>
        <v>5.0366394836774333</v>
      </c>
      <c r="J204">
        <f t="shared" si="41"/>
        <v>0.3768932081128637</v>
      </c>
    </row>
    <row r="205" spans="7:10" x14ac:dyDescent="0.25">
      <c r="G205">
        <f t="shared" si="42"/>
        <v>0.19700000000000015</v>
      </c>
      <c r="H205" s="25">
        <f t="shared" si="40"/>
        <v>5.0818353406490404</v>
      </c>
      <c r="J205">
        <f t="shared" si="41"/>
        <v>0.38026143361496961</v>
      </c>
    </row>
    <row r="206" spans="7:10" x14ac:dyDescent="0.25">
      <c r="G206">
        <f t="shared" si="42"/>
        <v>0.19800000000000015</v>
      </c>
      <c r="H206" s="25">
        <f t="shared" si="40"/>
        <v>5.1271952496218534</v>
      </c>
      <c r="J206">
        <f t="shared" si="41"/>
        <v>0.3836416674971409</v>
      </c>
    </row>
    <row r="207" spans="7:10" x14ac:dyDescent="0.25">
      <c r="G207">
        <f t="shared" si="42"/>
        <v>0.19900000000000015</v>
      </c>
      <c r="H207" s="25">
        <f t="shared" si="40"/>
        <v>5.1727186968911161</v>
      </c>
      <c r="J207">
        <f t="shared" si="41"/>
        <v>0.38703386938473766</v>
      </c>
    </row>
    <row r="208" spans="7:10" x14ac:dyDescent="0.25">
      <c r="G208">
        <f t="shared" si="42"/>
        <v>0.20000000000000015</v>
      </c>
      <c r="H208" s="25">
        <f t="shared" si="40"/>
        <v>5.2184051687520707</v>
      </c>
      <c r="J208">
        <f t="shared" si="41"/>
        <v>0.39043799890311981</v>
      </c>
    </row>
    <row r="209" spans="7:10" x14ac:dyDescent="0.25">
      <c r="G209">
        <f t="shared" si="42"/>
        <v>0.20100000000000015</v>
      </c>
      <c r="H209" s="25">
        <f t="shared" si="40"/>
        <v>5.2642541514999577</v>
      </c>
      <c r="J209">
        <f t="shared" si="41"/>
        <v>0.39385401567764744</v>
      </c>
    </row>
    <row r="210" spans="7:10" x14ac:dyDescent="0.25">
      <c r="G210">
        <f t="shared" si="42"/>
        <v>0.20200000000000015</v>
      </c>
      <c r="H210" s="25">
        <f t="shared" si="40"/>
        <v>5.3102651314300209</v>
      </c>
      <c r="J210">
        <f t="shared" si="41"/>
        <v>0.39728187933368053</v>
      </c>
    </row>
    <row r="211" spans="7:10" x14ac:dyDescent="0.25">
      <c r="G211">
        <f t="shared" si="42"/>
        <v>0.20300000000000015</v>
      </c>
      <c r="H211" s="25">
        <f t="shared" si="40"/>
        <v>5.3564375948375025</v>
      </c>
      <c r="J211">
        <f t="shared" si="41"/>
        <v>0.40072154949657923</v>
      </c>
    </row>
    <row r="212" spans="7:10" x14ac:dyDescent="0.25">
      <c r="G212">
        <f t="shared" si="42"/>
        <v>0.20400000000000015</v>
      </c>
      <c r="H212" s="25">
        <f t="shared" si="40"/>
        <v>5.4027710280176438</v>
      </c>
      <c r="J212">
        <f t="shared" si="41"/>
        <v>0.40417298579170347</v>
      </c>
    </row>
    <row r="213" spans="7:10" x14ac:dyDescent="0.25">
      <c r="G213">
        <f t="shared" si="42"/>
        <v>0.20500000000000015</v>
      </c>
      <c r="H213" s="25">
        <f t="shared" si="40"/>
        <v>5.4492649172656877</v>
      </c>
      <c r="J213">
        <f t="shared" si="41"/>
        <v>0.40763614784441327</v>
      </c>
    </row>
    <row r="214" spans="7:10" x14ac:dyDescent="0.25">
      <c r="G214">
        <f t="shared" si="42"/>
        <v>0.20600000000000016</v>
      </c>
      <c r="H214" s="25">
        <f t="shared" si="40"/>
        <v>5.4959187488768766</v>
      </c>
      <c r="J214">
        <f t="shared" si="41"/>
        <v>0.41111099528006861</v>
      </c>
    </row>
    <row r="215" spans="7:10" x14ac:dyDescent="0.25">
      <c r="G215">
        <f t="shared" si="42"/>
        <v>0.20700000000000016</v>
      </c>
      <c r="H215" s="25">
        <f t="shared" si="40"/>
        <v>5.5427320091464551</v>
      </c>
      <c r="J215">
        <f t="shared" si="41"/>
        <v>0.4145974877240296</v>
      </c>
    </row>
    <row r="216" spans="7:10" x14ac:dyDescent="0.25">
      <c r="G216">
        <f t="shared" si="42"/>
        <v>0.20800000000000016</v>
      </c>
      <c r="H216" s="25">
        <f t="shared" si="40"/>
        <v>5.5897041843696602</v>
      </c>
      <c r="J216">
        <f t="shared" si="41"/>
        <v>0.41809558480165632</v>
      </c>
    </row>
    <row r="217" spans="7:10" x14ac:dyDescent="0.25">
      <c r="G217">
        <f t="shared" si="42"/>
        <v>0.20900000000000016</v>
      </c>
      <c r="H217" s="25">
        <f t="shared" si="40"/>
        <v>5.6368347608417384</v>
      </c>
      <c r="J217">
        <f t="shared" si="41"/>
        <v>0.42160524613830852</v>
      </c>
    </row>
    <row r="218" spans="7:10" x14ac:dyDescent="0.25">
      <c r="G218">
        <f t="shared" si="42"/>
        <v>0.21000000000000016</v>
      </c>
      <c r="H218" s="25">
        <f t="shared" si="40"/>
        <v>5.684123224857931</v>
      </c>
      <c r="J218">
        <f t="shared" si="41"/>
        <v>0.42512643135934663</v>
      </c>
    </row>
    <row r="219" spans="7:10" x14ac:dyDescent="0.25">
      <c r="G219">
        <f t="shared" si="42"/>
        <v>0.21100000000000016</v>
      </c>
      <c r="H219" s="25">
        <f t="shared" si="40"/>
        <v>5.7315690627134783</v>
      </c>
      <c r="J219">
        <f t="shared" si="41"/>
        <v>0.42865910009013031</v>
      </c>
    </row>
    <row r="220" spans="7:10" x14ac:dyDescent="0.25">
      <c r="G220">
        <f t="shared" si="42"/>
        <v>0.21200000000000016</v>
      </c>
      <c r="H220" s="25">
        <f t="shared" si="40"/>
        <v>5.7791717607036261</v>
      </c>
      <c r="J220">
        <f t="shared" si="41"/>
        <v>0.43220321195601985</v>
      </c>
    </row>
    <row r="221" spans="7:10" x14ac:dyDescent="0.25">
      <c r="G221">
        <f t="shared" si="42"/>
        <v>0.21300000000000016</v>
      </c>
      <c r="H221" s="25">
        <f t="shared" si="40"/>
        <v>5.8269308051236148</v>
      </c>
      <c r="J221">
        <f t="shared" si="41"/>
        <v>0.43575872658237508</v>
      </c>
    </row>
    <row r="222" spans="7:10" x14ac:dyDescent="0.25">
      <c r="G222">
        <f t="shared" si="42"/>
        <v>0.21400000000000016</v>
      </c>
      <c r="H222" s="25">
        <f t="shared" si="40"/>
        <v>5.8748456822686865</v>
      </c>
      <c r="J222">
        <f t="shared" si="41"/>
        <v>0.43932560359455619</v>
      </c>
    </row>
    <row r="223" spans="7:10" x14ac:dyDescent="0.25">
      <c r="G223">
        <f t="shared" si="42"/>
        <v>0.21500000000000016</v>
      </c>
      <c r="H223" s="25">
        <f t="shared" si="40"/>
        <v>5.9229158784340843</v>
      </c>
      <c r="J223">
        <f t="shared" si="41"/>
        <v>0.44290380261792311</v>
      </c>
    </row>
    <row r="224" spans="7:10" x14ac:dyDescent="0.25">
      <c r="G224">
        <f t="shared" si="42"/>
        <v>0.21600000000000016</v>
      </c>
      <c r="H224" s="25">
        <f t="shared" si="40"/>
        <v>5.9711408799150476</v>
      </c>
      <c r="J224">
        <f t="shared" si="41"/>
        <v>0.44649328327783588</v>
      </c>
    </row>
    <row r="225" spans="7:10" x14ac:dyDescent="0.25">
      <c r="G225">
        <f t="shared" si="42"/>
        <v>0.21700000000000016</v>
      </c>
      <c r="H225" s="25">
        <f t="shared" si="40"/>
        <v>6.0195201730068231</v>
      </c>
      <c r="J225">
        <f t="shared" si="41"/>
        <v>0.45009400519965448</v>
      </c>
    </row>
    <row r="226" spans="7:10" x14ac:dyDescent="0.25">
      <c r="G226">
        <f t="shared" si="42"/>
        <v>0.21800000000000017</v>
      </c>
      <c r="H226" s="25">
        <f t="shared" si="40"/>
        <v>6.0680532440046502</v>
      </c>
      <c r="J226">
        <f t="shared" si="41"/>
        <v>0.45370592800873899</v>
      </c>
    </row>
    <row r="227" spans="7:10" x14ac:dyDescent="0.25">
      <c r="G227">
        <f t="shared" si="42"/>
        <v>0.21900000000000017</v>
      </c>
      <c r="H227" s="25">
        <f t="shared" si="40"/>
        <v>6.116739579203772</v>
      </c>
      <c r="J227">
        <f t="shared" si="41"/>
        <v>0.45732901133044945</v>
      </c>
    </row>
    <row r="228" spans="7:10" x14ac:dyDescent="0.25">
      <c r="G228">
        <f t="shared" si="42"/>
        <v>0.22000000000000017</v>
      </c>
      <c r="H228" s="25">
        <f t="shared" si="40"/>
        <v>6.1655786648994315</v>
      </c>
      <c r="J228">
        <f t="shared" si="41"/>
        <v>0.46096321479014579</v>
      </c>
    </row>
    <row r="229" spans="7:10" x14ac:dyDescent="0.25">
      <c r="G229">
        <f t="shared" si="42"/>
        <v>0.22100000000000017</v>
      </c>
      <c r="H229" s="25">
        <f t="shared" si="40"/>
        <v>6.2145699873868701</v>
      </c>
      <c r="J229">
        <f t="shared" si="41"/>
        <v>0.46460849801318821</v>
      </c>
    </row>
    <row r="230" spans="7:10" x14ac:dyDescent="0.25">
      <c r="G230">
        <f t="shared" si="42"/>
        <v>0.22200000000000017</v>
      </c>
      <c r="H230" s="25">
        <f t="shared" si="40"/>
        <v>6.2637130329613298</v>
      </c>
      <c r="J230">
        <f t="shared" si="41"/>
        <v>0.46826482062493668</v>
      </c>
    </row>
    <row r="231" spans="7:10" x14ac:dyDescent="0.25">
      <c r="G231">
        <f t="shared" si="42"/>
        <v>0.22300000000000017</v>
      </c>
      <c r="H231" s="25">
        <f t="shared" si="40"/>
        <v>6.3130072879180537</v>
      </c>
      <c r="J231">
        <f t="shared" si="41"/>
        <v>0.47193214225075103</v>
      </c>
    </row>
    <row r="232" spans="7:10" x14ac:dyDescent="0.25">
      <c r="G232">
        <f t="shared" si="42"/>
        <v>0.22400000000000017</v>
      </c>
      <c r="H232" s="25">
        <f t="shared" si="40"/>
        <v>6.3624522385522821</v>
      </c>
      <c r="J232">
        <f t="shared" si="41"/>
        <v>0.47561042251599145</v>
      </c>
    </row>
    <row r="233" spans="7:10" x14ac:dyDescent="0.25">
      <c r="G233">
        <f t="shared" si="42"/>
        <v>0.22500000000000017</v>
      </c>
      <c r="H233" s="25">
        <f t="shared" si="40"/>
        <v>6.4120473711592618</v>
      </c>
      <c r="J233">
        <f t="shared" si="41"/>
        <v>0.47929962104601798</v>
      </c>
    </row>
    <row r="234" spans="7:10" x14ac:dyDescent="0.25">
      <c r="G234">
        <f t="shared" si="42"/>
        <v>0.22600000000000017</v>
      </c>
      <c r="H234" s="25">
        <f t="shared" si="40"/>
        <v>6.4617921720342295</v>
      </c>
      <c r="J234">
        <f t="shared" si="41"/>
        <v>0.48299969746619059</v>
      </c>
    </row>
    <row r="235" spans="7:10" x14ac:dyDescent="0.25">
      <c r="G235">
        <f t="shared" si="42"/>
        <v>0.22700000000000017</v>
      </c>
      <c r="H235" s="25">
        <f t="shared" si="40"/>
        <v>6.5116861274724327</v>
      </c>
      <c r="J235">
        <f t="shared" si="41"/>
        <v>0.48671061140186944</v>
      </c>
    </row>
    <row r="236" spans="7:10" x14ac:dyDescent="0.25">
      <c r="G236">
        <f t="shared" si="42"/>
        <v>0.22800000000000017</v>
      </c>
      <c r="H236" s="25">
        <f t="shared" si="40"/>
        <v>6.5617287237691082</v>
      </c>
      <c r="J236">
        <f t="shared" si="41"/>
        <v>0.49043232247841428</v>
      </c>
    </row>
    <row r="237" spans="7:10" x14ac:dyDescent="0.25">
      <c r="G237">
        <f t="shared" si="42"/>
        <v>0.22900000000000018</v>
      </c>
      <c r="H237" s="25">
        <f t="shared" si="40"/>
        <v>6.6119194472195026</v>
      </c>
      <c r="J237">
        <f t="shared" si="41"/>
        <v>0.49416479032118538</v>
      </c>
    </row>
    <row r="238" spans="7:10" x14ac:dyDescent="0.25">
      <c r="G238">
        <f t="shared" si="42"/>
        <v>0.23000000000000018</v>
      </c>
      <c r="H238" s="25">
        <f t="shared" si="40"/>
        <v>6.6622577841188573</v>
      </c>
      <c r="J238">
        <f t="shared" si="41"/>
        <v>0.4979079745555427</v>
      </c>
    </row>
    <row r="239" spans="7:10" x14ac:dyDescent="0.25">
      <c r="G239">
        <f t="shared" si="42"/>
        <v>0.23100000000000018</v>
      </c>
      <c r="H239" s="25">
        <f t="shared" si="40"/>
        <v>6.7127432207624143</v>
      </c>
      <c r="J239">
        <f t="shared" si="41"/>
        <v>0.50166183480684623</v>
      </c>
    </row>
    <row r="240" spans="7:10" x14ac:dyDescent="0.25">
      <c r="G240">
        <f t="shared" si="42"/>
        <v>0.23200000000000018</v>
      </c>
      <c r="H240" s="25">
        <f t="shared" si="40"/>
        <v>6.763375243445414</v>
      </c>
      <c r="J240">
        <f t="shared" si="41"/>
        <v>0.50542633070045595</v>
      </c>
    </row>
    <row r="241" spans="7:10" x14ac:dyDescent="0.25">
      <c r="G241">
        <f t="shared" si="42"/>
        <v>0.23300000000000018</v>
      </c>
      <c r="H241" s="25">
        <f t="shared" si="40"/>
        <v>6.8141533384631012</v>
      </c>
      <c r="J241">
        <f t="shared" si="41"/>
        <v>0.50920142186173201</v>
      </c>
    </row>
    <row r="242" spans="7:10" x14ac:dyDescent="0.25">
      <c r="G242">
        <f t="shared" si="42"/>
        <v>0.23400000000000018</v>
      </c>
      <c r="H242" s="25">
        <f t="shared" si="40"/>
        <v>6.8650769921107182</v>
      </c>
      <c r="J242">
        <f t="shared" si="41"/>
        <v>0.51298706791603443</v>
      </c>
    </row>
    <row r="243" spans="7:10" x14ac:dyDescent="0.25">
      <c r="G243">
        <f t="shared" si="42"/>
        <v>0.23500000000000018</v>
      </c>
      <c r="H243" s="25">
        <f t="shared" si="40"/>
        <v>6.916145690683507</v>
      </c>
      <c r="J243">
        <f t="shared" si="41"/>
        <v>0.51678322848872316</v>
      </c>
    </row>
    <row r="244" spans="7:10" x14ac:dyDescent="0.25">
      <c r="G244">
        <f t="shared" si="42"/>
        <v>0.23600000000000018</v>
      </c>
      <c r="H244" s="25">
        <f t="shared" si="40"/>
        <v>6.9673589204767081</v>
      </c>
      <c r="J244">
        <f t="shared" si="41"/>
        <v>0.5205898632051581</v>
      </c>
    </row>
    <row r="245" spans="7:10" x14ac:dyDescent="0.25">
      <c r="G245">
        <f t="shared" si="42"/>
        <v>0.23700000000000018</v>
      </c>
      <c r="H245" s="25">
        <f t="shared" si="40"/>
        <v>7.0187161677855645</v>
      </c>
      <c r="J245">
        <f t="shared" si="41"/>
        <v>0.52440693169069952</v>
      </c>
    </row>
    <row r="246" spans="7:10" x14ac:dyDescent="0.25">
      <c r="G246">
        <f t="shared" si="42"/>
        <v>0.23800000000000018</v>
      </c>
      <c r="H246" s="25">
        <f t="shared" si="40"/>
        <v>7.070216918905321</v>
      </c>
      <c r="J246">
        <f t="shared" si="41"/>
        <v>0.52823439357070734</v>
      </c>
    </row>
    <row r="247" spans="7:10" x14ac:dyDescent="0.25">
      <c r="G247">
        <f t="shared" si="42"/>
        <v>0.23900000000000018</v>
      </c>
      <c r="H247" s="25">
        <f t="shared" si="40"/>
        <v>7.1218606601312153</v>
      </c>
      <c r="J247">
        <f t="shared" si="41"/>
        <v>0.5320722084705416</v>
      </c>
    </row>
    <row r="248" spans="7:10" x14ac:dyDescent="0.25">
      <c r="G248">
        <f t="shared" si="42"/>
        <v>0.24000000000000019</v>
      </c>
      <c r="H248" s="25">
        <f t="shared" si="40"/>
        <v>7.173646877758495</v>
      </c>
      <c r="J248">
        <f t="shared" si="41"/>
        <v>0.53592033601556233</v>
      </c>
    </row>
    <row r="249" spans="7:10" x14ac:dyDescent="0.25">
      <c r="G249">
        <f t="shared" si="42"/>
        <v>0.24100000000000019</v>
      </c>
      <c r="H249" s="25">
        <f t="shared" si="40"/>
        <v>7.2255750580823985</v>
      </c>
      <c r="J249">
        <f t="shared" si="41"/>
        <v>0.53977873583112956</v>
      </c>
    </row>
    <row r="250" spans="7:10" x14ac:dyDescent="0.25">
      <c r="G250">
        <f t="shared" si="42"/>
        <v>0.24200000000000019</v>
      </c>
      <c r="H250" s="25">
        <f t="shared" si="40"/>
        <v>7.2776446873981682</v>
      </c>
      <c r="J250">
        <f t="shared" si="41"/>
        <v>0.54364736754260323</v>
      </c>
    </row>
    <row r="251" spans="7:10" x14ac:dyDescent="0.25">
      <c r="G251">
        <f t="shared" si="42"/>
        <v>0.24300000000000019</v>
      </c>
      <c r="H251" s="25">
        <f t="shared" si="40"/>
        <v>7.3298552520010487</v>
      </c>
      <c r="J251">
        <f t="shared" si="41"/>
        <v>0.54752619077534348</v>
      </c>
    </row>
    <row r="252" spans="7:10" x14ac:dyDescent="0.25">
      <c r="G252">
        <f t="shared" si="42"/>
        <v>0.24400000000000019</v>
      </c>
      <c r="H252" s="25">
        <f t="shared" si="40"/>
        <v>7.3822062381862796</v>
      </c>
      <c r="J252">
        <f t="shared" si="41"/>
        <v>0.55141516515471012</v>
      </c>
    </row>
    <row r="253" spans="7:10" x14ac:dyDescent="0.25">
      <c r="G253">
        <f t="shared" si="42"/>
        <v>0.24500000000000019</v>
      </c>
      <c r="H253" s="25">
        <f t="shared" si="40"/>
        <v>7.4346971322491058</v>
      </c>
      <c r="J253">
        <f t="shared" si="41"/>
        <v>0.55531425030606352</v>
      </c>
    </row>
    <row r="254" spans="7:10" x14ac:dyDescent="0.25">
      <c r="G254">
        <f t="shared" si="42"/>
        <v>0.24600000000000019</v>
      </c>
      <c r="H254" s="25">
        <f t="shared" si="40"/>
        <v>7.4873274204847666</v>
      </c>
      <c r="J254">
        <f t="shared" si="41"/>
        <v>0.55922340585476349</v>
      </c>
    </row>
    <row r="255" spans="7:10" x14ac:dyDescent="0.25">
      <c r="G255">
        <f t="shared" si="42"/>
        <v>0.24700000000000019</v>
      </c>
      <c r="H255" s="25">
        <f t="shared" si="40"/>
        <v>7.5400965891885097</v>
      </c>
      <c r="J255">
        <f t="shared" si="41"/>
        <v>0.56314259142617018</v>
      </c>
    </row>
    <row r="256" spans="7:10" x14ac:dyDescent="0.25">
      <c r="G256">
        <f t="shared" si="42"/>
        <v>0.24800000000000019</v>
      </c>
      <c r="H256" s="25">
        <f t="shared" si="40"/>
        <v>7.59300412465557</v>
      </c>
      <c r="J256">
        <f t="shared" si="41"/>
        <v>0.5670717666456434</v>
      </c>
    </row>
    <row r="257" spans="7:10" x14ac:dyDescent="0.25">
      <c r="G257">
        <f t="shared" si="42"/>
        <v>0.24900000000000019</v>
      </c>
      <c r="H257" s="25">
        <f t="shared" si="40"/>
        <v>7.6460495131811967</v>
      </c>
      <c r="J257">
        <f t="shared" si="41"/>
        <v>0.57101089113854331</v>
      </c>
    </row>
    <row r="258" spans="7:10" x14ac:dyDescent="0.25">
      <c r="G258">
        <f t="shared" si="42"/>
        <v>0.25000000000000017</v>
      </c>
      <c r="H258" s="25">
        <f t="shared" si="40"/>
        <v>7.6992322410606242</v>
      </c>
      <c r="J258">
        <f t="shared" si="41"/>
        <v>0.57495992453022982</v>
      </c>
    </row>
    <row r="259" spans="7:10" x14ac:dyDescent="0.25">
      <c r="G259">
        <f t="shared" si="42"/>
        <v>0.25100000000000017</v>
      </c>
      <c r="H259" s="25">
        <f t="shared" si="40"/>
        <v>7.7525517945891051</v>
      </c>
      <c r="J259">
        <f t="shared" si="41"/>
        <v>0.57891882644606329</v>
      </c>
    </row>
    <row r="260" spans="7:10" x14ac:dyDescent="0.25">
      <c r="G260">
        <f t="shared" si="42"/>
        <v>0.25200000000000017</v>
      </c>
      <c r="H260" s="25">
        <f t="shared" si="40"/>
        <v>7.8060076600618729</v>
      </c>
      <c r="J260">
        <f t="shared" si="41"/>
        <v>0.58288755651140334</v>
      </c>
    </row>
    <row r="261" spans="7:10" x14ac:dyDescent="0.25">
      <c r="G261">
        <f t="shared" si="42"/>
        <v>0.25300000000000017</v>
      </c>
      <c r="H261" s="25">
        <f t="shared" si="40"/>
        <v>7.8595993237741739</v>
      </c>
      <c r="J261">
        <f t="shared" si="41"/>
        <v>0.58686607435161031</v>
      </c>
    </row>
    <row r="262" spans="7:10" x14ac:dyDescent="0.25">
      <c r="G262">
        <f t="shared" si="42"/>
        <v>0.25400000000000017</v>
      </c>
      <c r="H262" s="25">
        <f t="shared" si="40"/>
        <v>7.9133262720212478</v>
      </c>
      <c r="J262">
        <f t="shared" si="41"/>
        <v>0.59085433959204403</v>
      </c>
    </row>
    <row r="263" spans="7:10" x14ac:dyDescent="0.25">
      <c r="G263">
        <f t="shared" si="42"/>
        <v>0.25500000000000017</v>
      </c>
      <c r="H263" s="25">
        <f t="shared" si="40"/>
        <v>7.9671879910983421</v>
      </c>
      <c r="J263">
        <f t="shared" si="41"/>
        <v>0.59485231185806464</v>
      </c>
    </row>
    <row r="264" spans="7:10" x14ac:dyDescent="0.25">
      <c r="G264">
        <f t="shared" si="42"/>
        <v>0.25600000000000017</v>
      </c>
      <c r="H264" s="25">
        <f t="shared" ref="H264:H327" si="43">$D$8*(1-G264)^3+3*$D$9*G264*(1-G264)^2+3*$D$10*(G264)^2*(1-G264)+(G264^3*$D$11)</f>
        <v>8.0211839673006935</v>
      </c>
      <c r="J264">
        <f t="shared" si="41"/>
        <v>0.59885995077503196</v>
      </c>
    </row>
    <row r="265" spans="7:10" x14ac:dyDescent="0.25">
      <c r="G265">
        <f t="shared" si="42"/>
        <v>0.25700000000000017</v>
      </c>
      <c r="H265" s="25">
        <f t="shared" si="43"/>
        <v>8.0753136869235487</v>
      </c>
      <c r="J265">
        <f t="shared" ref="J265:J328" si="44">$E$8*(1-G265)^3+3*$E$9*G265*(1-G265)^2+3*$E$10*(G265)^2*(1-G265)+(G265^3*$E$11)</f>
        <v>0.60287721596830635</v>
      </c>
    </row>
    <row r="266" spans="7:10" x14ac:dyDescent="0.25">
      <c r="G266">
        <f t="shared" ref="G266:G329" si="45">G265+0.001</f>
        <v>0.25800000000000017</v>
      </c>
      <c r="H266" s="25">
        <f t="shared" si="43"/>
        <v>8.1295766362621453</v>
      </c>
      <c r="J266">
        <f t="shared" si="44"/>
        <v>0.60690406706324751</v>
      </c>
    </row>
    <row r="267" spans="7:10" x14ac:dyDescent="0.25">
      <c r="G267">
        <f t="shared" si="45"/>
        <v>0.25900000000000017</v>
      </c>
      <c r="H267" s="25">
        <f t="shared" si="43"/>
        <v>8.1839723016117283</v>
      </c>
      <c r="J267">
        <f t="shared" si="44"/>
        <v>0.6109404636852156</v>
      </c>
    </row>
    <row r="268" spans="7:10" x14ac:dyDescent="0.25">
      <c r="G268">
        <f t="shared" si="45"/>
        <v>0.26000000000000018</v>
      </c>
      <c r="H268" s="25">
        <f t="shared" si="43"/>
        <v>8.2385001692675388</v>
      </c>
      <c r="J268">
        <f t="shared" si="44"/>
        <v>0.61498636545957064</v>
      </c>
    </row>
    <row r="269" spans="7:10" x14ac:dyDescent="0.25">
      <c r="G269">
        <f t="shared" si="45"/>
        <v>0.26100000000000018</v>
      </c>
      <c r="H269" s="25">
        <f t="shared" si="43"/>
        <v>8.2931597255248235</v>
      </c>
      <c r="J269">
        <f t="shared" si="44"/>
        <v>0.61904173201167279</v>
      </c>
    </row>
    <row r="270" spans="7:10" x14ac:dyDescent="0.25">
      <c r="G270">
        <f t="shared" si="45"/>
        <v>0.26200000000000018</v>
      </c>
      <c r="H270" s="25">
        <f t="shared" si="43"/>
        <v>8.3479504566788165</v>
      </c>
      <c r="J270">
        <f t="shared" si="44"/>
        <v>0.62310652296688185</v>
      </c>
    </row>
    <row r="271" spans="7:10" x14ac:dyDescent="0.25">
      <c r="G271">
        <f t="shared" si="45"/>
        <v>0.26300000000000018</v>
      </c>
      <c r="H271" s="25">
        <f t="shared" si="43"/>
        <v>8.402871849024768</v>
      </c>
      <c r="J271">
        <f t="shared" si="44"/>
        <v>0.62718069795055786</v>
      </c>
    </row>
    <row r="272" spans="7:10" x14ac:dyDescent="0.25">
      <c r="G272">
        <f t="shared" si="45"/>
        <v>0.26400000000000018</v>
      </c>
      <c r="H272" s="25">
        <f t="shared" si="43"/>
        <v>8.4579233888579139</v>
      </c>
      <c r="J272">
        <f t="shared" si="44"/>
        <v>0.63126421658806109</v>
      </c>
    </row>
    <row r="273" spans="7:10" x14ac:dyDescent="0.25">
      <c r="G273">
        <f t="shared" si="45"/>
        <v>0.26500000000000018</v>
      </c>
      <c r="H273" s="25">
        <f t="shared" si="43"/>
        <v>8.5131045624735027</v>
      </c>
      <c r="J273">
        <f t="shared" si="44"/>
        <v>0.63535703850475134</v>
      </c>
    </row>
    <row r="274" spans="7:10" x14ac:dyDescent="0.25">
      <c r="G274">
        <f t="shared" si="45"/>
        <v>0.26600000000000018</v>
      </c>
      <c r="H274" s="25">
        <f t="shared" si="43"/>
        <v>8.5684148561667719</v>
      </c>
      <c r="J274">
        <f t="shared" si="44"/>
        <v>0.63945912332598864</v>
      </c>
    </row>
    <row r="275" spans="7:10" x14ac:dyDescent="0.25">
      <c r="G275">
        <f t="shared" si="45"/>
        <v>0.26700000000000018</v>
      </c>
      <c r="H275" s="25">
        <f t="shared" si="43"/>
        <v>8.6238537562329682</v>
      </c>
      <c r="J275">
        <f t="shared" si="44"/>
        <v>0.64357043067713349</v>
      </c>
    </row>
    <row r="276" spans="7:10" x14ac:dyDescent="0.25">
      <c r="G276">
        <f t="shared" si="45"/>
        <v>0.26800000000000018</v>
      </c>
      <c r="H276" s="25">
        <f t="shared" si="43"/>
        <v>8.6794207489673276</v>
      </c>
      <c r="J276">
        <f t="shared" si="44"/>
        <v>0.6476909201835449</v>
      </c>
    </row>
    <row r="277" spans="7:10" x14ac:dyDescent="0.25">
      <c r="G277">
        <f t="shared" si="45"/>
        <v>0.26900000000000018</v>
      </c>
      <c r="H277" s="25">
        <f t="shared" si="43"/>
        <v>8.7351153206650984</v>
      </c>
      <c r="J277">
        <f t="shared" si="44"/>
        <v>0.65182055147058382</v>
      </c>
    </row>
    <row r="278" spans="7:10" x14ac:dyDescent="0.25">
      <c r="G278">
        <f t="shared" si="45"/>
        <v>0.27000000000000018</v>
      </c>
      <c r="H278" s="25">
        <f t="shared" si="43"/>
        <v>8.7909369576215184</v>
      </c>
      <c r="J278">
        <f t="shared" si="44"/>
        <v>0.65595928416360982</v>
      </c>
    </row>
    <row r="279" spans="7:10" x14ac:dyDescent="0.25">
      <c r="G279">
        <f t="shared" si="45"/>
        <v>0.27100000000000019</v>
      </c>
      <c r="H279" s="25">
        <f t="shared" si="43"/>
        <v>8.8468851461318359</v>
      </c>
      <c r="J279">
        <f t="shared" si="44"/>
        <v>0.66010707788798317</v>
      </c>
    </row>
    <row r="280" spans="7:10" x14ac:dyDescent="0.25">
      <c r="G280">
        <f t="shared" si="45"/>
        <v>0.27200000000000019</v>
      </c>
      <c r="H280" s="25">
        <f t="shared" si="43"/>
        <v>8.902959372491285</v>
      </c>
      <c r="J280">
        <f t="shared" si="44"/>
        <v>0.66426389226906368</v>
      </c>
    </row>
    <row r="281" spans="7:10" x14ac:dyDescent="0.25">
      <c r="G281">
        <f t="shared" si="45"/>
        <v>0.27300000000000019</v>
      </c>
      <c r="H281" s="25">
        <f t="shared" si="43"/>
        <v>8.9591591229951142</v>
      </c>
      <c r="J281">
        <f t="shared" si="44"/>
        <v>0.66842968693221161</v>
      </c>
    </row>
    <row r="282" spans="7:10" x14ac:dyDescent="0.25">
      <c r="G282">
        <f t="shared" si="45"/>
        <v>0.27400000000000019</v>
      </c>
      <c r="H282" s="25">
        <f t="shared" si="43"/>
        <v>9.0154838839385611</v>
      </c>
      <c r="J282">
        <f t="shared" si="44"/>
        <v>0.67260442150278676</v>
      </c>
    </row>
    <row r="283" spans="7:10" x14ac:dyDescent="0.25">
      <c r="G283">
        <f t="shared" si="45"/>
        <v>0.27500000000000019</v>
      </c>
      <c r="H283" s="25">
        <f t="shared" si="43"/>
        <v>9.071933141616876</v>
      </c>
      <c r="J283">
        <f t="shared" si="44"/>
        <v>0.67678805560614919</v>
      </c>
    </row>
    <row r="284" spans="7:10" x14ac:dyDescent="0.25">
      <c r="G284">
        <f t="shared" si="45"/>
        <v>0.27600000000000019</v>
      </c>
      <c r="H284" s="25">
        <f t="shared" si="43"/>
        <v>9.1285063823252894</v>
      </c>
      <c r="J284">
        <f t="shared" si="44"/>
        <v>0.68098054886765891</v>
      </c>
    </row>
    <row r="285" spans="7:10" x14ac:dyDescent="0.25">
      <c r="G285">
        <f t="shared" si="45"/>
        <v>0.27700000000000019</v>
      </c>
      <c r="H285" s="25">
        <f t="shared" si="43"/>
        <v>9.1852030923590533</v>
      </c>
      <c r="J285">
        <f t="shared" si="44"/>
        <v>0.6851818609126763</v>
      </c>
    </row>
    <row r="286" spans="7:10" x14ac:dyDescent="0.25">
      <c r="G286">
        <f t="shared" si="45"/>
        <v>0.27800000000000019</v>
      </c>
      <c r="H286" s="25">
        <f t="shared" si="43"/>
        <v>9.2420227580134053</v>
      </c>
      <c r="J286">
        <f t="shared" si="44"/>
        <v>0.68939195136656095</v>
      </c>
    </row>
    <row r="287" spans="7:10" x14ac:dyDescent="0.25">
      <c r="G287">
        <f t="shared" si="45"/>
        <v>0.27900000000000019</v>
      </c>
      <c r="H287" s="25">
        <f t="shared" si="43"/>
        <v>9.2989648655835939</v>
      </c>
      <c r="J287">
        <f t="shared" si="44"/>
        <v>0.69361077985467301</v>
      </c>
    </row>
    <row r="288" spans="7:10" x14ac:dyDescent="0.25">
      <c r="G288">
        <f t="shared" si="45"/>
        <v>0.28000000000000019</v>
      </c>
      <c r="H288" s="25">
        <f t="shared" si="43"/>
        <v>9.3560289013648497</v>
      </c>
      <c r="J288">
        <f t="shared" si="44"/>
        <v>0.69783830600237251</v>
      </c>
    </row>
    <row r="289" spans="7:10" x14ac:dyDescent="0.25">
      <c r="G289">
        <f t="shared" si="45"/>
        <v>0.28100000000000019</v>
      </c>
      <c r="H289" s="25">
        <f t="shared" si="43"/>
        <v>9.4132143516524263</v>
      </c>
      <c r="J289">
        <f t="shared" si="44"/>
        <v>0.70207448943501971</v>
      </c>
    </row>
    <row r="290" spans="7:10" x14ac:dyDescent="0.25">
      <c r="G290">
        <f t="shared" si="45"/>
        <v>0.28200000000000019</v>
      </c>
      <c r="H290" s="25">
        <f t="shared" si="43"/>
        <v>9.4705207027415597</v>
      </c>
      <c r="J290">
        <f t="shared" si="44"/>
        <v>0.7063192897779742</v>
      </c>
    </row>
    <row r="291" spans="7:10" x14ac:dyDescent="0.25">
      <c r="G291">
        <f t="shared" si="45"/>
        <v>0.2830000000000002</v>
      </c>
      <c r="H291" s="25">
        <f t="shared" si="43"/>
        <v>9.5279474409274965</v>
      </c>
      <c r="J291">
        <f t="shared" si="44"/>
        <v>0.71057266665659624</v>
      </c>
    </row>
    <row r="292" spans="7:10" x14ac:dyDescent="0.25">
      <c r="G292">
        <f t="shared" si="45"/>
        <v>0.2840000000000002</v>
      </c>
      <c r="H292" s="25">
        <f t="shared" si="43"/>
        <v>9.5854940525054744</v>
      </c>
      <c r="J292">
        <f t="shared" si="44"/>
        <v>0.71483457969624586</v>
      </c>
    </row>
    <row r="293" spans="7:10" x14ac:dyDescent="0.25">
      <c r="G293">
        <f t="shared" si="45"/>
        <v>0.2850000000000002</v>
      </c>
      <c r="H293" s="25">
        <f t="shared" si="43"/>
        <v>9.64316002377074</v>
      </c>
      <c r="J293">
        <f t="shared" si="44"/>
        <v>0.71910498852228333</v>
      </c>
    </row>
    <row r="294" spans="7:10" x14ac:dyDescent="0.25">
      <c r="G294">
        <f t="shared" si="45"/>
        <v>0.2860000000000002</v>
      </c>
      <c r="H294" s="25">
        <f t="shared" si="43"/>
        <v>9.7009448410185293</v>
      </c>
      <c r="J294">
        <f t="shared" si="44"/>
        <v>0.72338385276006789</v>
      </c>
    </row>
    <row r="295" spans="7:10" x14ac:dyDescent="0.25">
      <c r="G295">
        <f t="shared" si="45"/>
        <v>0.2870000000000002</v>
      </c>
      <c r="H295" s="25">
        <f t="shared" si="43"/>
        <v>9.7588479905440906</v>
      </c>
      <c r="J295">
        <f t="shared" si="44"/>
        <v>0.72767113203496048</v>
      </c>
    </row>
    <row r="296" spans="7:10" x14ac:dyDescent="0.25">
      <c r="G296">
        <f t="shared" si="45"/>
        <v>0.2880000000000002</v>
      </c>
      <c r="H296" s="25">
        <f t="shared" si="43"/>
        <v>9.8168689586426652</v>
      </c>
      <c r="J296">
        <f t="shared" si="44"/>
        <v>0.73196678597232057</v>
      </c>
    </row>
    <row r="297" spans="7:10" x14ac:dyDescent="0.25">
      <c r="G297">
        <f t="shared" si="45"/>
        <v>0.2890000000000002</v>
      </c>
      <c r="H297" s="25">
        <f t="shared" si="43"/>
        <v>9.8750072316094961</v>
      </c>
      <c r="J297">
        <f t="shared" si="44"/>
        <v>0.73627077419750853</v>
      </c>
    </row>
    <row r="298" spans="7:10" x14ac:dyDescent="0.25">
      <c r="G298">
        <f t="shared" si="45"/>
        <v>0.2900000000000002</v>
      </c>
      <c r="H298" s="25">
        <f t="shared" si="43"/>
        <v>9.9332622957398193</v>
      </c>
      <c r="J298">
        <f t="shared" si="44"/>
        <v>0.74058305633588395</v>
      </c>
    </row>
    <row r="299" spans="7:10" x14ac:dyDescent="0.25">
      <c r="G299">
        <f t="shared" si="45"/>
        <v>0.2910000000000002</v>
      </c>
      <c r="H299" s="25">
        <f t="shared" si="43"/>
        <v>9.991633637328885</v>
      </c>
      <c r="J299">
        <f t="shared" si="44"/>
        <v>0.74490359201280743</v>
      </c>
    </row>
    <row r="300" spans="7:10" x14ac:dyDescent="0.25">
      <c r="G300">
        <f t="shared" si="45"/>
        <v>0.2920000000000002</v>
      </c>
      <c r="H300" s="25">
        <f t="shared" si="43"/>
        <v>10.050120742671931</v>
      </c>
      <c r="J300">
        <f t="shared" si="44"/>
        <v>0.74923234085363843</v>
      </c>
    </row>
    <row r="301" spans="7:10" x14ac:dyDescent="0.25">
      <c r="G301">
        <f t="shared" si="45"/>
        <v>0.2930000000000002</v>
      </c>
      <c r="H301" s="25">
        <f t="shared" si="43"/>
        <v>10.108723098064203</v>
      </c>
      <c r="J301">
        <f t="shared" si="44"/>
        <v>0.75356926248373723</v>
      </c>
    </row>
    <row r="302" spans="7:10" x14ac:dyDescent="0.25">
      <c r="G302">
        <f t="shared" si="45"/>
        <v>0.29400000000000021</v>
      </c>
      <c r="H302" s="25">
        <f t="shared" si="43"/>
        <v>10.167440189800937</v>
      </c>
      <c r="J302">
        <f t="shared" si="44"/>
        <v>0.75791431652846386</v>
      </c>
    </row>
    <row r="303" spans="7:10" x14ac:dyDescent="0.25">
      <c r="G303">
        <f t="shared" si="45"/>
        <v>0.29500000000000021</v>
      </c>
      <c r="H303" s="25">
        <f t="shared" si="43"/>
        <v>10.226271504177383</v>
      </c>
      <c r="J303">
        <f t="shared" si="44"/>
        <v>0.76226746261317835</v>
      </c>
    </row>
    <row r="304" spans="7:10" x14ac:dyDescent="0.25">
      <c r="G304">
        <f t="shared" si="45"/>
        <v>0.29600000000000021</v>
      </c>
      <c r="H304" s="25">
        <f t="shared" si="43"/>
        <v>10.285216527488776</v>
      </c>
      <c r="J304">
        <f t="shared" si="44"/>
        <v>0.76662866036324073</v>
      </c>
    </row>
    <row r="305" spans="7:10" x14ac:dyDescent="0.25">
      <c r="G305">
        <f t="shared" si="45"/>
        <v>0.29700000000000021</v>
      </c>
      <c r="H305" s="25">
        <f t="shared" si="43"/>
        <v>10.344274746030367</v>
      </c>
      <c r="J305">
        <f t="shared" si="44"/>
        <v>0.77099786940401105</v>
      </c>
    </row>
    <row r="306" spans="7:10" x14ac:dyDescent="0.25">
      <c r="G306">
        <f t="shared" si="45"/>
        <v>0.29800000000000021</v>
      </c>
      <c r="H306" s="25">
        <f t="shared" si="43"/>
        <v>10.403445646097389</v>
      </c>
      <c r="J306">
        <f t="shared" si="44"/>
        <v>0.775375049360849</v>
      </c>
    </row>
    <row r="307" spans="7:10" x14ac:dyDescent="0.25">
      <c r="G307">
        <f t="shared" si="45"/>
        <v>0.29900000000000021</v>
      </c>
      <c r="H307" s="25">
        <f t="shared" si="43"/>
        <v>10.46272871398509</v>
      </c>
      <c r="J307">
        <f t="shared" si="44"/>
        <v>0.7797601598591154</v>
      </c>
    </row>
    <row r="308" spans="7:10" x14ac:dyDescent="0.25">
      <c r="G308">
        <f t="shared" si="45"/>
        <v>0.30000000000000021</v>
      </c>
      <c r="H308" s="25">
        <f t="shared" si="43"/>
        <v>10.522123435988709</v>
      </c>
      <c r="J308">
        <f t="shared" si="44"/>
        <v>0.78415316052416939</v>
      </c>
    </row>
    <row r="309" spans="7:10" x14ac:dyDescent="0.25">
      <c r="G309">
        <f t="shared" si="45"/>
        <v>0.30100000000000021</v>
      </c>
      <c r="H309" s="25">
        <f t="shared" si="43"/>
        <v>10.581629298403493</v>
      </c>
      <c r="J309">
        <f t="shared" si="44"/>
        <v>0.78855401098137157</v>
      </c>
    </row>
    <row r="310" spans="7:10" x14ac:dyDescent="0.25">
      <c r="G310">
        <f t="shared" si="45"/>
        <v>0.30200000000000021</v>
      </c>
      <c r="H310" s="25">
        <f t="shared" si="43"/>
        <v>10.641245787524682</v>
      </c>
      <c r="J310">
        <f t="shared" si="44"/>
        <v>0.79296267085608152</v>
      </c>
    </row>
    <row r="311" spans="7:10" x14ac:dyDescent="0.25">
      <c r="G311">
        <f t="shared" si="45"/>
        <v>0.30300000000000021</v>
      </c>
      <c r="H311" s="25">
        <f t="shared" si="43"/>
        <v>10.700972389647516</v>
      </c>
      <c r="J311">
        <f t="shared" si="44"/>
        <v>0.79737909977365984</v>
      </c>
    </row>
    <row r="312" spans="7:10" x14ac:dyDescent="0.25">
      <c r="G312">
        <f t="shared" si="45"/>
        <v>0.30400000000000021</v>
      </c>
      <c r="H312" s="25">
        <f t="shared" si="43"/>
        <v>10.760808591067239</v>
      </c>
      <c r="J312">
        <f t="shared" si="44"/>
        <v>0.801803257359466</v>
      </c>
    </row>
    <row r="313" spans="7:10" x14ac:dyDescent="0.25">
      <c r="G313">
        <f t="shared" si="45"/>
        <v>0.30500000000000022</v>
      </c>
      <c r="H313" s="25">
        <f t="shared" si="43"/>
        <v>10.82075387807909</v>
      </c>
      <c r="J313">
        <f t="shared" si="44"/>
        <v>0.80623510323886038</v>
      </c>
    </row>
    <row r="314" spans="7:10" x14ac:dyDescent="0.25">
      <c r="G314">
        <f t="shared" si="45"/>
        <v>0.30600000000000022</v>
      </c>
      <c r="H314" s="25">
        <f t="shared" si="43"/>
        <v>10.880807736978319</v>
      </c>
      <c r="J314">
        <f t="shared" si="44"/>
        <v>0.81067459703720268</v>
      </c>
    </row>
    <row r="315" spans="7:10" x14ac:dyDescent="0.25">
      <c r="G315">
        <f t="shared" si="45"/>
        <v>0.30700000000000022</v>
      </c>
      <c r="H315" s="25">
        <f t="shared" si="43"/>
        <v>10.940969654060162</v>
      </c>
      <c r="J315">
        <f t="shared" si="44"/>
        <v>0.81512169837985327</v>
      </c>
    </row>
    <row r="316" spans="7:10" x14ac:dyDescent="0.25">
      <c r="G316">
        <f t="shared" si="45"/>
        <v>0.30800000000000022</v>
      </c>
      <c r="H316" s="25">
        <f t="shared" si="43"/>
        <v>11.00123911561986</v>
      </c>
      <c r="J316">
        <f t="shared" si="44"/>
        <v>0.81957636689217173</v>
      </c>
    </row>
    <row r="317" spans="7:10" x14ac:dyDescent="0.25">
      <c r="G317">
        <f t="shared" si="45"/>
        <v>0.30900000000000022</v>
      </c>
      <c r="H317" s="25">
        <f t="shared" si="43"/>
        <v>11.061615607952664</v>
      </c>
      <c r="J317">
        <f t="shared" si="44"/>
        <v>0.82403856219951899</v>
      </c>
    </row>
    <row r="318" spans="7:10" x14ac:dyDescent="0.25">
      <c r="G318">
        <f t="shared" si="45"/>
        <v>0.31000000000000022</v>
      </c>
      <c r="H318" s="25">
        <f t="shared" si="43"/>
        <v>11.122098617353808</v>
      </c>
      <c r="J318">
        <f t="shared" si="44"/>
        <v>0.82850824392725386</v>
      </c>
    </row>
    <row r="319" spans="7:10" x14ac:dyDescent="0.25">
      <c r="G319">
        <f t="shared" si="45"/>
        <v>0.31100000000000022</v>
      </c>
      <c r="H319" s="25">
        <f t="shared" si="43"/>
        <v>11.182687630118538</v>
      </c>
      <c r="J319">
        <f t="shared" si="44"/>
        <v>0.83298537170073739</v>
      </c>
    </row>
    <row r="320" spans="7:10" x14ac:dyDescent="0.25">
      <c r="G320">
        <f t="shared" si="45"/>
        <v>0.31200000000000022</v>
      </c>
      <c r="H320" s="25">
        <f t="shared" si="43"/>
        <v>11.243382132542093</v>
      </c>
      <c r="J320">
        <f t="shared" si="44"/>
        <v>0.83746990514532882</v>
      </c>
    </row>
    <row r="321" spans="7:10" x14ac:dyDescent="0.25">
      <c r="G321">
        <f t="shared" si="45"/>
        <v>0.31300000000000022</v>
      </c>
      <c r="H321" s="25">
        <f t="shared" si="43"/>
        <v>11.304181610919724</v>
      </c>
      <c r="J321">
        <f t="shared" si="44"/>
        <v>0.84196180388638897</v>
      </c>
    </row>
    <row r="322" spans="7:10" x14ac:dyDescent="0.25">
      <c r="G322">
        <f t="shared" si="45"/>
        <v>0.31400000000000022</v>
      </c>
      <c r="H322" s="25">
        <f t="shared" si="43"/>
        <v>11.365085551546656</v>
      </c>
      <c r="J322">
        <f t="shared" si="44"/>
        <v>0.84646102754927699</v>
      </c>
    </row>
    <row r="323" spans="7:10" x14ac:dyDescent="0.25">
      <c r="G323">
        <f t="shared" si="45"/>
        <v>0.31500000000000022</v>
      </c>
      <c r="H323" s="25">
        <f t="shared" si="43"/>
        <v>11.426093440718152</v>
      </c>
      <c r="J323">
        <f t="shared" si="44"/>
        <v>0.85096753575935391</v>
      </c>
    </row>
    <row r="324" spans="7:10" x14ac:dyDescent="0.25">
      <c r="G324">
        <f t="shared" si="45"/>
        <v>0.31600000000000023</v>
      </c>
      <c r="H324" s="25">
        <f t="shared" si="43"/>
        <v>11.487204764729437</v>
      </c>
      <c r="J324">
        <f t="shared" si="44"/>
        <v>0.85548128814197844</v>
      </c>
    </row>
    <row r="325" spans="7:10" x14ac:dyDescent="0.25">
      <c r="G325">
        <f t="shared" si="45"/>
        <v>0.31700000000000023</v>
      </c>
      <c r="H325" s="25">
        <f t="shared" si="43"/>
        <v>11.548419009875765</v>
      </c>
      <c r="J325">
        <f t="shared" si="44"/>
        <v>0.86000224432251227</v>
      </c>
    </row>
    <row r="326" spans="7:10" x14ac:dyDescent="0.25">
      <c r="G326">
        <f t="shared" si="45"/>
        <v>0.31800000000000023</v>
      </c>
      <c r="H326" s="25">
        <f t="shared" si="43"/>
        <v>11.609735662452373</v>
      </c>
      <c r="J326">
        <f t="shared" si="44"/>
        <v>0.86453036392631377</v>
      </c>
    </row>
    <row r="327" spans="7:10" x14ac:dyDescent="0.25">
      <c r="G327">
        <f t="shared" si="45"/>
        <v>0.31900000000000023</v>
      </c>
      <c r="H327" s="25">
        <f t="shared" si="43"/>
        <v>11.671154208754503</v>
      </c>
      <c r="J327">
        <f t="shared" si="44"/>
        <v>0.8690656065787441</v>
      </c>
    </row>
    <row r="328" spans="7:10" x14ac:dyDescent="0.25">
      <c r="G328">
        <f t="shared" si="45"/>
        <v>0.32000000000000023</v>
      </c>
      <c r="H328" s="25">
        <f t="shared" ref="H328:H391" si="46">$D$8*(1-G328)^3+3*$D$9*G328*(1-G328)^2+3*$D$10*(G328)^2*(1-G328)+(G328^3*$D$11)</f>
        <v>11.732674135077399</v>
      </c>
      <c r="J328">
        <f t="shared" si="44"/>
        <v>0.87360793190516262</v>
      </c>
    </row>
    <row r="329" spans="7:10" x14ac:dyDescent="0.25">
      <c r="G329">
        <f t="shared" si="45"/>
        <v>0.32100000000000023</v>
      </c>
      <c r="H329" s="25">
        <f t="shared" si="46"/>
        <v>11.794294927716304</v>
      </c>
      <c r="J329">
        <f t="shared" ref="J329:J392" si="47">$E$8*(1-G329)^3+3*$E$9*G329*(1-G329)^2+3*$E$10*(G329)^2*(1-G329)+(G329^3*$E$11)</f>
        <v>0.87815729953092991</v>
      </c>
    </row>
    <row r="330" spans="7:10" x14ac:dyDescent="0.25">
      <c r="G330">
        <f t="shared" ref="G330:G393" si="48">G329+0.001</f>
        <v>0.32200000000000023</v>
      </c>
      <c r="H330" s="25">
        <f t="shared" si="46"/>
        <v>11.856016072966458</v>
      </c>
      <c r="J330">
        <f t="shared" si="47"/>
        <v>0.88271366908140558</v>
      </c>
    </row>
    <row r="331" spans="7:10" x14ac:dyDescent="0.25">
      <c r="G331">
        <f t="shared" si="48"/>
        <v>0.32300000000000023</v>
      </c>
      <c r="H331" s="25">
        <f t="shared" si="46"/>
        <v>11.917837057123107</v>
      </c>
      <c r="J331">
        <f t="shared" si="47"/>
        <v>0.8872770001819501</v>
      </c>
    </row>
    <row r="332" spans="7:10" x14ac:dyDescent="0.25">
      <c r="G332">
        <f t="shared" si="48"/>
        <v>0.32400000000000023</v>
      </c>
      <c r="H332" s="25">
        <f t="shared" si="46"/>
        <v>11.979757366481488</v>
      </c>
      <c r="J332">
        <f t="shared" si="47"/>
        <v>0.89184725245792273</v>
      </c>
    </row>
    <row r="333" spans="7:10" x14ac:dyDescent="0.25">
      <c r="G333">
        <f t="shared" si="48"/>
        <v>0.32500000000000023</v>
      </c>
      <c r="H333" s="25">
        <f t="shared" si="46"/>
        <v>12.041776487336845</v>
      </c>
      <c r="J333">
        <f t="shared" si="47"/>
        <v>0.89642438553468418</v>
      </c>
    </row>
    <row r="334" spans="7:10" x14ac:dyDescent="0.25">
      <c r="G334">
        <f t="shared" si="48"/>
        <v>0.32600000000000023</v>
      </c>
      <c r="H334" s="25">
        <f t="shared" si="46"/>
        <v>12.103893905984421</v>
      </c>
      <c r="J334">
        <f t="shared" si="47"/>
        <v>0.90100835903759402</v>
      </c>
    </row>
    <row r="335" spans="7:10" x14ac:dyDescent="0.25">
      <c r="G335">
        <f t="shared" si="48"/>
        <v>0.32700000000000023</v>
      </c>
      <c r="H335" s="25">
        <f t="shared" si="46"/>
        <v>12.166109108719461</v>
      </c>
      <c r="J335">
        <f t="shared" si="47"/>
        <v>0.90559913259201297</v>
      </c>
    </row>
    <row r="336" spans="7:10" x14ac:dyDescent="0.25">
      <c r="G336">
        <f t="shared" si="48"/>
        <v>0.32800000000000024</v>
      </c>
      <c r="H336" s="25">
        <f t="shared" si="46"/>
        <v>12.228421581837202</v>
      </c>
      <c r="J336">
        <f t="shared" si="47"/>
        <v>0.91019666582330028</v>
      </c>
    </row>
    <row r="337" spans="7:10" x14ac:dyDescent="0.25">
      <c r="G337">
        <f t="shared" si="48"/>
        <v>0.32900000000000024</v>
      </c>
      <c r="H337" s="25">
        <f t="shared" si="46"/>
        <v>12.290830811632892</v>
      </c>
      <c r="J337">
        <f t="shared" si="47"/>
        <v>0.91480091835681654</v>
      </c>
    </row>
    <row r="338" spans="7:10" x14ac:dyDescent="0.25">
      <c r="G338">
        <f t="shared" si="48"/>
        <v>0.33000000000000024</v>
      </c>
      <c r="H338" s="25">
        <f t="shared" si="46"/>
        <v>12.353336284401768</v>
      </c>
      <c r="J338">
        <f t="shared" si="47"/>
        <v>0.91941184981792112</v>
      </c>
    </row>
    <row r="339" spans="7:10" x14ac:dyDescent="0.25">
      <c r="G339">
        <f t="shared" si="48"/>
        <v>0.33100000000000024</v>
      </c>
      <c r="H339" s="25">
        <f t="shared" si="46"/>
        <v>12.415937486439079</v>
      </c>
      <c r="J339">
        <f t="shared" si="47"/>
        <v>0.92402941983197484</v>
      </c>
    </row>
    <row r="340" spans="7:10" x14ac:dyDescent="0.25">
      <c r="G340">
        <f t="shared" si="48"/>
        <v>0.33200000000000024</v>
      </c>
      <c r="H340" s="25">
        <f t="shared" si="46"/>
        <v>12.478633904040056</v>
      </c>
      <c r="J340">
        <f t="shared" si="47"/>
        <v>0.92865358802433684</v>
      </c>
    </row>
    <row r="341" spans="7:10" x14ac:dyDescent="0.25">
      <c r="G341">
        <f t="shared" si="48"/>
        <v>0.33300000000000024</v>
      </c>
      <c r="H341" s="25">
        <f t="shared" si="46"/>
        <v>12.541425023499952</v>
      </c>
      <c r="J341">
        <f t="shared" si="47"/>
        <v>0.93328431402036804</v>
      </c>
    </row>
    <row r="342" spans="7:10" x14ac:dyDescent="0.25">
      <c r="G342">
        <f t="shared" si="48"/>
        <v>0.33400000000000024</v>
      </c>
      <c r="H342" s="25">
        <f t="shared" si="46"/>
        <v>12.604310331114005</v>
      </c>
      <c r="J342">
        <f t="shared" si="47"/>
        <v>0.93792155744542782</v>
      </c>
    </row>
    <row r="343" spans="7:10" x14ac:dyDescent="0.25">
      <c r="G343">
        <f t="shared" si="48"/>
        <v>0.33500000000000024</v>
      </c>
      <c r="H343" s="25">
        <f t="shared" si="46"/>
        <v>12.667289313177459</v>
      </c>
      <c r="J343">
        <f t="shared" si="47"/>
        <v>0.94256527792487677</v>
      </c>
    </row>
    <row r="344" spans="7:10" x14ac:dyDescent="0.25">
      <c r="G344">
        <f t="shared" si="48"/>
        <v>0.33600000000000024</v>
      </c>
      <c r="H344" s="25">
        <f t="shared" si="46"/>
        <v>12.730361455985552</v>
      </c>
      <c r="J344">
        <f t="shared" si="47"/>
        <v>0.94721543508407413</v>
      </c>
    </row>
    <row r="345" spans="7:10" x14ac:dyDescent="0.25">
      <c r="G345">
        <f t="shared" si="48"/>
        <v>0.33700000000000024</v>
      </c>
      <c r="H345" s="25">
        <f t="shared" si="46"/>
        <v>12.793526245833533</v>
      </c>
      <c r="J345">
        <f t="shared" si="47"/>
        <v>0.95187198854838106</v>
      </c>
    </row>
    <row r="346" spans="7:10" x14ac:dyDescent="0.25">
      <c r="G346">
        <f t="shared" si="48"/>
        <v>0.33800000000000024</v>
      </c>
      <c r="H346" s="25">
        <f t="shared" si="46"/>
        <v>12.856783169016639</v>
      </c>
      <c r="J346">
        <f t="shared" si="47"/>
        <v>0.95653489794315638</v>
      </c>
    </row>
    <row r="347" spans="7:10" x14ac:dyDescent="0.25">
      <c r="G347">
        <f t="shared" si="48"/>
        <v>0.33900000000000025</v>
      </c>
      <c r="H347" s="25">
        <f t="shared" si="46"/>
        <v>12.920131711830114</v>
      </c>
      <c r="J347">
        <f t="shared" si="47"/>
        <v>0.96120412289376078</v>
      </c>
    </row>
    <row r="348" spans="7:10" x14ac:dyDescent="0.25">
      <c r="G348">
        <f t="shared" si="48"/>
        <v>0.34000000000000025</v>
      </c>
      <c r="H348" s="25">
        <f t="shared" si="46"/>
        <v>12.983571360569199</v>
      </c>
      <c r="J348">
        <f t="shared" si="47"/>
        <v>0.96587962302555397</v>
      </c>
    </row>
    <row r="349" spans="7:10" x14ac:dyDescent="0.25">
      <c r="G349">
        <f t="shared" si="48"/>
        <v>0.34100000000000025</v>
      </c>
      <c r="H349" s="25">
        <f t="shared" si="46"/>
        <v>13.047101601529143</v>
      </c>
      <c r="J349">
        <f t="shared" si="47"/>
        <v>0.97056135796389653</v>
      </c>
    </row>
    <row r="350" spans="7:10" x14ac:dyDescent="0.25">
      <c r="G350">
        <f t="shared" si="48"/>
        <v>0.34200000000000025</v>
      </c>
      <c r="H350" s="25">
        <f t="shared" si="46"/>
        <v>13.110721921005174</v>
      </c>
      <c r="J350">
        <f t="shared" si="47"/>
        <v>0.97524928733414773</v>
      </c>
    </row>
    <row r="351" spans="7:10" x14ac:dyDescent="0.25">
      <c r="G351">
        <f t="shared" si="48"/>
        <v>0.34300000000000025</v>
      </c>
      <c r="H351" s="25">
        <f t="shared" si="46"/>
        <v>13.174431805292551</v>
      </c>
      <c r="J351">
        <f t="shared" si="47"/>
        <v>0.97994337076166849</v>
      </c>
    </row>
    <row r="352" spans="7:10" x14ac:dyDescent="0.25">
      <c r="G352">
        <f t="shared" si="48"/>
        <v>0.34400000000000025</v>
      </c>
      <c r="H352" s="25">
        <f t="shared" si="46"/>
        <v>13.238230740686502</v>
      </c>
      <c r="J352">
        <f t="shared" si="47"/>
        <v>0.98464356787181795</v>
      </c>
    </row>
    <row r="353" spans="7:10" x14ac:dyDescent="0.25">
      <c r="G353">
        <f t="shared" si="48"/>
        <v>0.34500000000000025</v>
      </c>
      <c r="H353" s="25">
        <f t="shared" si="46"/>
        <v>13.302118213482281</v>
      </c>
      <c r="J353">
        <f t="shared" si="47"/>
        <v>0.9893498382899566</v>
      </c>
    </row>
    <row r="354" spans="7:10" x14ac:dyDescent="0.25">
      <c r="G354">
        <f t="shared" si="48"/>
        <v>0.34600000000000025</v>
      </c>
      <c r="H354" s="25">
        <f t="shared" si="46"/>
        <v>13.36609370997512</v>
      </c>
      <c r="J354">
        <f t="shared" si="47"/>
        <v>0.99406214164144413</v>
      </c>
    </row>
    <row r="355" spans="7:10" x14ac:dyDescent="0.25">
      <c r="G355">
        <f t="shared" si="48"/>
        <v>0.34700000000000025</v>
      </c>
      <c r="H355" s="25">
        <f t="shared" si="46"/>
        <v>13.430156716460271</v>
      </c>
      <c r="J355">
        <f t="shared" si="47"/>
        <v>0.99878043755164114</v>
      </c>
    </row>
    <row r="356" spans="7:10" x14ac:dyDescent="0.25">
      <c r="G356">
        <f t="shared" si="48"/>
        <v>0.34800000000000025</v>
      </c>
      <c r="H356" s="25">
        <f t="shared" si="46"/>
        <v>13.494306719232966</v>
      </c>
      <c r="J356">
        <f t="shared" si="47"/>
        <v>1.0035046856459071</v>
      </c>
    </row>
    <row r="357" spans="7:10" x14ac:dyDescent="0.25">
      <c r="G357">
        <f t="shared" si="48"/>
        <v>0.34900000000000025</v>
      </c>
      <c r="H357" s="25">
        <f t="shared" si="46"/>
        <v>13.558543204588457</v>
      </c>
      <c r="J357">
        <f t="shared" si="47"/>
        <v>1.0082348455496026</v>
      </c>
    </row>
    <row r="358" spans="7:10" x14ac:dyDescent="0.25">
      <c r="G358">
        <f t="shared" si="48"/>
        <v>0.35000000000000026</v>
      </c>
      <c r="H358" s="25">
        <f t="shared" si="46"/>
        <v>13.622865658821979</v>
      </c>
      <c r="J358">
        <f t="shared" si="47"/>
        <v>1.012970876888087</v>
      </c>
    </row>
    <row r="359" spans="7:10" x14ac:dyDescent="0.25">
      <c r="G359">
        <f t="shared" si="48"/>
        <v>0.35100000000000026</v>
      </c>
      <c r="H359" s="25">
        <f t="shared" si="46"/>
        <v>13.687273568228782</v>
      </c>
      <c r="J359">
        <f t="shared" si="47"/>
        <v>1.0177127392867209</v>
      </c>
    </row>
    <row r="360" spans="7:10" x14ac:dyDescent="0.25">
      <c r="G360">
        <f t="shared" si="48"/>
        <v>0.35200000000000026</v>
      </c>
      <c r="H360" s="25">
        <f t="shared" si="46"/>
        <v>13.751766419104101</v>
      </c>
      <c r="J360">
        <f t="shared" si="47"/>
        <v>1.0224603923708639</v>
      </c>
    </row>
    <row r="361" spans="7:10" x14ac:dyDescent="0.25">
      <c r="G361">
        <f t="shared" si="48"/>
        <v>0.35300000000000026</v>
      </c>
      <c r="H361" s="25">
        <f t="shared" si="46"/>
        <v>13.81634369774318</v>
      </c>
      <c r="J361">
        <f t="shared" si="47"/>
        <v>1.027213795765876</v>
      </c>
    </row>
    <row r="362" spans="7:10" x14ac:dyDescent="0.25">
      <c r="G362">
        <f t="shared" si="48"/>
        <v>0.35400000000000026</v>
      </c>
      <c r="H362" s="25">
        <f t="shared" si="46"/>
        <v>13.881004890441259</v>
      </c>
      <c r="J362">
        <f t="shared" si="47"/>
        <v>1.0319729090971177</v>
      </c>
    </row>
    <row r="363" spans="7:10" x14ac:dyDescent="0.25">
      <c r="G363">
        <f t="shared" si="48"/>
        <v>0.35500000000000026</v>
      </c>
      <c r="H363" s="25">
        <f t="shared" si="46"/>
        <v>13.945749483493593</v>
      </c>
      <c r="J363">
        <f t="shared" si="47"/>
        <v>1.0367376919899489</v>
      </c>
    </row>
    <row r="364" spans="7:10" x14ac:dyDescent="0.25">
      <c r="G364">
        <f t="shared" si="48"/>
        <v>0.35600000000000026</v>
      </c>
      <c r="H364" s="25">
        <f t="shared" si="46"/>
        <v>14.010576963195403</v>
      </c>
      <c r="J364">
        <f t="shared" si="47"/>
        <v>1.0415081040697292</v>
      </c>
    </row>
    <row r="365" spans="7:10" x14ac:dyDescent="0.25">
      <c r="G365">
        <f t="shared" si="48"/>
        <v>0.35700000000000026</v>
      </c>
      <c r="H365" s="25">
        <f t="shared" si="46"/>
        <v>14.075486815841952</v>
      </c>
      <c r="J365">
        <f t="shared" si="47"/>
        <v>1.046284104961819</v>
      </c>
    </row>
    <row r="366" spans="7:10" x14ac:dyDescent="0.25">
      <c r="G366">
        <f t="shared" si="48"/>
        <v>0.35800000000000026</v>
      </c>
      <c r="H366" s="25">
        <f t="shared" si="46"/>
        <v>14.140478527728472</v>
      </c>
      <c r="J366">
        <f t="shared" si="47"/>
        <v>1.0510656542915782</v>
      </c>
    </row>
    <row r="367" spans="7:10" x14ac:dyDescent="0.25">
      <c r="G367">
        <f t="shared" si="48"/>
        <v>0.35900000000000026</v>
      </c>
      <c r="H367" s="25">
        <f t="shared" si="46"/>
        <v>14.205551585150204</v>
      </c>
      <c r="J367">
        <f t="shared" si="47"/>
        <v>1.0558527116843668</v>
      </c>
    </row>
    <row r="368" spans="7:10" x14ac:dyDescent="0.25">
      <c r="G368">
        <f t="shared" si="48"/>
        <v>0.36000000000000026</v>
      </c>
      <c r="H368" s="25">
        <f t="shared" si="46"/>
        <v>14.270705474402394</v>
      </c>
      <c r="J368">
        <f t="shared" si="47"/>
        <v>1.060645236765545</v>
      </c>
    </row>
    <row r="369" spans="7:10" x14ac:dyDescent="0.25">
      <c r="G369">
        <f t="shared" si="48"/>
        <v>0.36100000000000027</v>
      </c>
      <c r="H369" s="25">
        <f t="shared" si="46"/>
        <v>14.335939681780285</v>
      </c>
      <c r="J369">
        <f t="shared" si="47"/>
        <v>1.0654431891604728</v>
      </c>
    </row>
    <row r="370" spans="7:10" x14ac:dyDescent="0.25">
      <c r="G370">
        <f t="shared" si="48"/>
        <v>0.36200000000000027</v>
      </c>
      <c r="H370" s="25">
        <f t="shared" si="46"/>
        <v>14.401253693579111</v>
      </c>
      <c r="J370">
        <f t="shared" si="47"/>
        <v>1.0702465284945097</v>
      </c>
    </row>
    <row r="371" spans="7:10" x14ac:dyDescent="0.25">
      <c r="G371">
        <f t="shared" si="48"/>
        <v>0.36300000000000027</v>
      </c>
      <c r="H371" s="25">
        <f t="shared" si="46"/>
        <v>14.466646996094131</v>
      </c>
      <c r="J371">
        <f t="shared" si="47"/>
        <v>1.0750552143930165</v>
      </c>
    </row>
    <row r="372" spans="7:10" x14ac:dyDescent="0.25">
      <c r="G372">
        <f t="shared" si="48"/>
        <v>0.36400000000000027</v>
      </c>
      <c r="H372" s="25">
        <f t="shared" si="46"/>
        <v>14.532119075620569</v>
      </c>
      <c r="J372">
        <f t="shared" si="47"/>
        <v>1.0798692064813529</v>
      </c>
    </row>
    <row r="373" spans="7:10" x14ac:dyDescent="0.25">
      <c r="G373">
        <f t="shared" si="48"/>
        <v>0.36500000000000027</v>
      </c>
      <c r="H373" s="25">
        <f t="shared" si="46"/>
        <v>14.59766941845368</v>
      </c>
      <c r="J373">
        <f t="shared" si="47"/>
        <v>1.0846884643848789</v>
      </c>
    </row>
    <row r="374" spans="7:10" x14ac:dyDescent="0.25">
      <c r="G374">
        <f t="shared" si="48"/>
        <v>0.36600000000000027</v>
      </c>
      <c r="H374" s="25">
        <f t="shared" si="46"/>
        <v>14.663297510888697</v>
      </c>
      <c r="J374">
        <f t="shared" si="47"/>
        <v>1.089512947728954</v>
      </c>
    </row>
    <row r="375" spans="7:10" x14ac:dyDescent="0.25">
      <c r="G375">
        <f t="shared" si="48"/>
        <v>0.36700000000000027</v>
      </c>
      <c r="H375" s="25">
        <f t="shared" si="46"/>
        <v>14.729002839220872</v>
      </c>
      <c r="J375">
        <f t="shared" si="47"/>
        <v>1.0943426161389396</v>
      </c>
    </row>
    <row r="376" spans="7:10" x14ac:dyDescent="0.25">
      <c r="G376">
        <f t="shared" si="48"/>
        <v>0.36800000000000027</v>
      </c>
      <c r="H376" s="25">
        <f t="shared" si="46"/>
        <v>14.794784889745438</v>
      </c>
      <c r="J376">
        <f t="shared" si="47"/>
        <v>1.0991774292401943</v>
      </c>
    </row>
    <row r="377" spans="7:10" x14ac:dyDescent="0.25">
      <c r="G377">
        <f t="shared" si="48"/>
        <v>0.36900000000000027</v>
      </c>
      <c r="H377" s="25">
        <f t="shared" si="46"/>
        <v>14.860643148757642</v>
      </c>
      <c r="J377">
        <f t="shared" si="47"/>
        <v>1.1040173466580789</v>
      </c>
    </row>
    <row r="378" spans="7:10" x14ac:dyDescent="0.25">
      <c r="G378">
        <f t="shared" si="48"/>
        <v>0.37000000000000027</v>
      </c>
      <c r="H378" s="25">
        <f t="shared" si="46"/>
        <v>14.926577102552729</v>
      </c>
      <c r="J378">
        <f t="shared" si="47"/>
        <v>1.1088623280179533</v>
      </c>
    </row>
    <row r="379" spans="7:10" x14ac:dyDescent="0.25">
      <c r="G379">
        <f t="shared" si="48"/>
        <v>0.37100000000000027</v>
      </c>
      <c r="H379" s="25">
        <f t="shared" si="46"/>
        <v>14.992586237425936</v>
      </c>
      <c r="J379">
        <f t="shared" si="47"/>
        <v>1.1137123329451775</v>
      </c>
    </row>
    <row r="380" spans="7:10" x14ac:dyDescent="0.25">
      <c r="G380">
        <f t="shared" si="48"/>
        <v>0.37200000000000027</v>
      </c>
      <c r="H380" s="25">
        <f t="shared" si="46"/>
        <v>15.058670039672505</v>
      </c>
      <c r="J380">
        <f t="shared" si="47"/>
        <v>1.118567321065111</v>
      </c>
    </row>
    <row r="381" spans="7:10" x14ac:dyDescent="0.25">
      <c r="G381">
        <f t="shared" si="48"/>
        <v>0.37300000000000028</v>
      </c>
      <c r="H381" s="25">
        <f t="shared" si="46"/>
        <v>15.124827995587685</v>
      </c>
      <c r="J381">
        <f t="shared" si="47"/>
        <v>1.1234272520031148</v>
      </c>
    </row>
    <row r="382" spans="7:10" x14ac:dyDescent="0.25">
      <c r="G382">
        <f t="shared" si="48"/>
        <v>0.37400000000000028</v>
      </c>
      <c r="H382" s="25">
        <f t="shared" si="46"/>
        <v>15.191059591466708</v>
      </c>
      <c r="J382">
        <f t="shared" si="47"/>
        <v>1.1282920853845482</v>
      </c>
    </row>
    <row r="383" spans="7:10" x14ac:dyDescent="0.25">
      <c r="G383">
        <f t="shared" si="48"/>
        <v>0.37500000000000028</v>
      </c>
      <c r="H383" s="25">
        <f t="shared" si="46"/>
        <v>15.257364313604832</v>
      </c>
      <c r="J383">
        <f t="shared" si="47"/>
        <v>1.1331617808347718</v>
      </c>
    </row>
    <row r="384" spans="7:10" x14ac:dyDescent="0.25">
      <c r="G384">
        <f t="shared" si="48"/>
        <v>0.37600000000000028</v>
      </c>
      <c r="H384" s="25">
        <f t="shared" si="46"/>
        <v>15.323741648297275</v>
      </c>
      <c r="J384">
        <f t="shared" si="47"/>
        <v>1.1380362979791445</v>
      </c>
    </row>
    <row r="385" spans="7:10" x14ac:dyDescent="0.25">
      <c r="G385">
        <f t="shared" si="48"/>
        <v>0.37700000000000028</v>
      </c>
      <c r="H385" s="25">
        <f t="shared" si="46"/>
        <v>15.390191081839307</v>
      </c>
      <c r="J385">
        <f t="shared" si="47"/>
        <v>1.1429155964430278</v>
      </c>
    </row>
    <row r="386" spans="7:10" x14ac:dyDescent="0.25">
      <c r="G386">
        <f t="shared" si="48"/>
        <v>0.37800000000000028</v>
      </c>
      <c r="H386" s="25">
        <f t="shared" si="46"/>
        <v>15.456712100526151</v>
      </c>
      <c r="J386">
        <f t="shared" si="47"/>
        <v>1.1477996358517808</v>
      </c>
    </row>
    <row r="387" spans="7:10" x14ac:dyDescent="0.25">
      <c r="G387">
        <f t="shared" si="48"/>
        <v>0.37900000000000028</v>
      </c>
      <c r="H387" s="25">
        <f t="shared" si="46"/>
        <v>15.523304190653057</v>
      </c>
      <c r="J387">
        <f t="shared" si="47"/>
        <v>1.152688375830764</v>
      </c>
    </row>
    <row r="388" spans="7:10" x14ac:dyDescent="0.25">
      <c r="G388">
        <f t="shared" si="48"/>
        <v>0.38000000000000028</v>
      </c>
      <c r="H388" s="25">
        <f t="shared" si="46"/>
        <v>15.589966838515265</v>
      </c>
      <c r="J388">
        <f t="shared" si="47"/>
        <v>1.1575817760053368</v>
      </c>
    </row>
    <row r="389" spans="7:10" x14ac:dyDescent="0.25">
      <c r="G389">
        <f t="shared" si="48"/>
        <v>0.38100000000000028</v>
      </c>
      <c r="H389" s="25">
        <f t="shared" si="46"/>
        <v>15.656699530408016</v>
      </c>
      <c r="J389">
        <f t="shared" si="47"/>
        <v>1.1624797960008599</v>
      </c>
    </row>
    <row r="390" spans="7:10" x14ac:dyDescent="0.25">
      <c r="G390">
        <f t="shared" si="48"/>
        <v>0.38200000000000028</v>
      </c>
      <c r="H390" s="25">
        <f t="shared" si="46"/>
        <v>15.723501752626557</v>
      </c>
      <c r="J390">
        <f t="shared" si="47"/>
        <v>1.1673823954426927</v>
      </c>
    </row>
    <row r="391" spans="7:10" x14ac:dyDescent="0.25">
      <c r="G391">
        <f t="shared" si="48"/>
        <v>0.38300000000000028</v>
      </c>
      <c r="H391" s="25">
        <f t="shared" si="46"/>
        <v>15.790372991466127</v>
      </c>
      <c r="J391">
        <f t="shared" si="47"/>
        <v>1.1722895339561961</v>
      </c>
    </row>
    <row r="392" spans="7:10" x14ac:dyDescent="0.25">
      <c r="G392">
        <f t="shared" si="48"/>
        <v>0.38400000000000029</v>
      </c>
      <c r="H392" s="25">
        <f t="shared" ref="H392:H455" si="49">$D$8*(1-G392)^3+3*$D$9*G392*(1-G392)^2+3*$D$10*(G392)^2*(1-G392)+(G392^3*$D$11)</f>
        <v>15.857312733221967</v>
      </c>
      <c r="J392">
        <f t="shared" si="47"/>
        <v>1.1772011711667292</v>
      </c>
    </row>
    <row r="393" spans="7:10" x14ac:dyDescent="0.25">
      <c r="G393">
        <f t="shared" si="48"/>
        <v>0.38500000000000029</v>
      </c>
      <c r="H393" s="25">
        <f t="shared" si="49"/>
        <v>15.924320464189325</v>
      </c>
      <c r="J393">
        <f t="shared" ref="J393:J456" si="50">$E$8*(1-G393)^3+3*$E$9*G393*(1-G393)^2+3*$E$10*(G393)^2*(1-G393)+(G393^3*$E$11)</f>
        <v>1.1821172666996524</v>
      </c>
    </row>
    <row r="394" spans="7:10" x14ac:dyDescent="0.25">
      <c r="G394">
        <f t="shared" ref="G394:G457" si="51">G393+0.001</f>
        <v>0.38600000000000029</v>
      </c>
      <c r="H394" s="25">
        <f t="shared" si="49"/>
        <v>15.991395670663431</v>
      </c>
      <c r="J394">
        <f t="shared" si="50"/>
        <v>1.1870377801803256</v>
      </c>
    </row>
    <row r="395" spans="7:10" x14ac:dyDescent="0.25">
      <c r="G395">
        <f t="shared" si="51"/>
        <v>0.38700000000000029</v>
      </c>
      <c r="H395" s="25">
        <f t="shared" si="49"/>
        <v>16.05853783893955</v>
      </c>
      <c r="J395">
        <f t="shared" si="50"/>
        <v>1.1919626712341096</v>
      </c>
    </row>
    <row r="396" spans="7:10" x14ac:dyDescent="0.25">
      <c r="G396">
        <f t="shared" si="51"/>
        <v>0.38800000000000029</v>
      </c>
      <c r="H396" s="25">
        <f t="shared" si="49"/>
        <v>16.125746455312896</v>
      </c>
      <c r="J396">
        <f t="shared" si="50"/>
        <v>1.1968918994863631</v>
      </c>
    </row>
    <row r="397" spans="7:10" x14ac:dyDescent="0.25">
      <c r="G397">
        <f t="shared" si="51"/>
        <v>0.38900000000000029</v>
      </c>
      <c r="H397" s="25">
        <f t="shared" si="49"/>
        <v>16.193021006078734</v>
      </c>
      <c r="J397">
        <f t="shared" si="50"/>
        <v>1.2018254245624473</v>
      </c>
    </row>
    <row r="398" spans="7:10" x14ac:dyDescent="0.25">
      <c r="G398">
        <f t="shared" si="51"/>
        <v>0.39000000000000029</v>
      </c>
      <c r="H398" s="25">
        <f t="shared" si="49"/>
        <v>16.260360977532294</v>
      </c>
      <c r="J398">
        <f t="shared" si="50"/>
        <v>1.2067632060877214</v>
      </c>
    </row>
    <row r="399" spans="7:10" x14ac:dyDescent="0.25">
      <c r="G399">
        <f t="shared" si="51"/>
        <v>0.39100000000000029</v>
      </c>
      <c r="H399" s="25">
        <f t="shared" si="49"/>
        <v>16.327765855968824</v>
      </c>
      <c r="J399">
        <f t="shared" si="50"/>
        <v>1.211705203687546</v>
      </c>
    </row>
    <row r="400" spans="7:10" x14ac:dyDescent="0.25">
      <c r="G400">
        <f t="shared" si="51"/>
        <v>0.39200000000000029</v>
      </c>
      <c r="H400" s="25">
        <f t="shared" si="49"/>
        <v>16.395235127683556</v>
      </c>
      <c r="J400">
        <f t="shared" si="50"/>
        <v>1.2166513769872802</v>
      </c>
    </row>
    <row r="401" spans="7:10" x14ac:dyDescent="0.25">
      <c r="G401">
        <f t="shared" si="51"/>
        <v>0.39300000000000029</v>
      </c>
      <c r="H401" s="25">
        <f t="shared" si="49"/>
        <v>16.462768278971748</v>
      </c>
      <c r="J401">
        <f t="shared" si="50"/>
        <v>1.2216016856122858</v>
      </c>
    </row>
    <row r="402" spans="7:10" x14ac:dyDescent="0.25">
      <c r="G402">
        <f t="shared" si="51"/>
        <v>0.39400000000000029</v>
      </c>
      <c r="H402" s="25">
        <f t="shared" si="49"/>
        <v>16.53036479612863</v>
      </c>
      <c r="J402">
        <f t="shared" si="50"/>
        <v>1.2265560891879208</v>
      </c>
    </row>
    <row r="403" spans="7:10" x14ac:dyDescent="0.25">
      <c r="G403">
        <f t="shared" si="51"/>
        <v>0.3950000000000003</v>
      </c>
      <c r="H403" s="25">
        <f t="shared" si="49"/>
        <v>16.598024165449456</v>
      </c>
      <c r="J403">
        <f t="shared" si="50"/>
        <v>1.2315145473395468</v>
      </c>
    </row>
    <row r="404" spans="7:10" x14ac:dyDescent="0.25">
      <c r="G404">
        <f t="shared" si="51"/>
        <v>0.3960000000000003</v>
      </c>
      <c r="H404" s="25">
        <f t="shared" si="49"/>
        <v>16.665745873229451</v>
      </c>
      <c r="J404">
        <f t="shared" si="50"/>
        <v>1.2364770196925225</v>
      </c>
    </row>
    <row r="405" spans="7:10" x14ac:dyDescent="0.25">
      <c r="G405">
        <f t="shared" si="51"/>
        <v>0.3970000000000003</v>
      </c>
      <c r="H405" s="25">
        <f t="shared" si="49"/>
        <v>16.733529405763878</v>
      </c>
      <c r="J405">
        <f t="shared" si="50"/>
        <v>1.2414434658722093</v>
      </c>
    </row>
    <row r="406" spans="7:10" x14ac:dyDescent="0.25">
      <c r="G406">
        <f t="shared" si="51"/>
        <v>0.3980000000000003</v>
      </c>
      <c r="H406" s="25">
        <f t="shared" si="49"/>
        <v>16.801374249347958</v>
      </c>
      <c r="J406">
        <f t="shared" si="50"/>
        <v>1.2464138455039659</v>
      </c>
    </row>
    <row r="407" spans="7:10" x14ac:dyDescent="0.25">
      <c r="G407">
        <f t="shared" si="51"/>
        <v>0.3990000000000003</v>
      </c>
      <c r="H407" s="25">
        <f t="shared" si="49"/>
        <v>16.869279890276953</v>
      </c>
      <c r="J407">
        <f t="shared" si="50"/>
        <v>1.2513881182131537</v>
      </c>
    </row>
    <row r="408" spans="7:10" x14ac:dyDescent="0.25">
      <c r="G408">
        <f t="shared" si="51"/>
        <v>0.4000000000000003</v>
      </c>
      <c r="H408" s="25">
        <f t="shared" si="49"/>
        <v>16.937245814846094</v>
      </c>
      <c r="J408">
        <f t="shared" si="50"/>
        <v>1.2563662436251315</v>
      </c>
    </row>
    <row r="409" spans="7:10" x14ac:dyDescent="0.25">
      <c r="G409">
        <f t="shared" si="51"/>
        <v>0.4010000000000003</v>
      </c>
      <c r="H409" s="25">
        <f t="shared" si="49"/>
        <v>17.005271509350624</v>
      </c>
      <c r="J409">
        <f t="shared" si="50"/>
        <v>1.2613481813652601</v>
      </c>
    </row>
    <row r="410" spans="7:10" x14ac:dyDescent="0.25">
      <c r="G410">
        <f t="shared" si="51"/>
        <v>0.4020000000000003</v>
      </c>
      <c r="H410" s="25">
        <f t="shared" si="49"/>
        <v>17.073356460085783</v>
      </c>
      <c r="J410">
        <f t="shared" si="50"/>
        <v>1.2663338910588986</v>
      </c>
    </row>
    <row r="411" spans="7:10" x14ac:dyDescent="0.25">
      <c r="G411">
        <f t="shared" si="51"/>
        <v>0.4030000000000003</v>
      </c>
      <c r="H411" s="25">
        <f t="shared" si="49"/>
        <v>17.141500153346826</v>
      </c>
      <c r="J411">
        <f t="shared" si="50"/>
        <v>1.2713233323314084</v>
      </c>
    </row>
    <row r="412" spans="7:10" x14ac:dyDescent="0.25">
      <c r="G412">
        <f t="shared" si="51"/>
        <v>0.4040000000000003</v>
      </c>
      <c r="H412" s="25">
        <f t="shared" si="49"/>
        <v>17.209702075428979</v>
      </c>
      <c r="J412">
        <f t="shared" si="50"/>
        <v>1.276316464808148</v>
      </c>
    </row>
    <row r="413" spans="7:10" x14ac:dyDescent="0.25">
      <c r="G413">
        <f t="shared" si="51"/>
        <v>0.4050000000000003</v>
      </c>
      <c r="H413" s="25">
        <f t="shared" si="49"/>
        <v>17.277961712627501</v>
      </c>
      <c r="J413">
        <f t="shared" si="50"/>
        <v>1.2813132481144791</v>
      </c>
    </row>
    <row r="414" spans="7:10" x14ac:dyDescent="0.25">
      <c r="G414">
        <f t="shared" si="51"/>
        <v>0.40600000000000031</v>
      </c>
      <c r="H414" s="25">
        <f t="shared" si="49"/>
        <v>17.346278551237614</v>
      </c>
      <c r="J414">
        <f t="shared" si="50"/>
        <v>1.2863136418757606</v>
      </c>
    </row>
    <row r="415" spans="7:10" x14ac:dyDescent="0.25">
      <c r="G415">
        <f t="shared" si="51"/>
        <v>0.40700000000000031</v>
      </c>
      <c r="H415" s="25">
        <f t="shared" si="49"/>
        <v>17.414652077554578</v>
      </c>
      <c r="J415">
        <f t="shared" si="50"/>
        <v>1.2913176057173525</v>
      </c>
    </row>
    <row r="416" spans="7:10" x14ac:dyDescent="0.25">
      <c r="G416">
        <f t="shared" si="51"/>
        <v>0.40800000000000031</v>
      </c>
      <c r="H416" s="25">
        <f t="shared" si="49"/>
        <v>17.483081777873629</v>
      </c>
      <c r="J416">
        <f t="shared" si="50"/>
        <v>1.2963250992646149</v>
      </c>
    </row>
    <row r="417" spans="7:10" x14ac:dyDescent="0.25">
      <c r="G417">
        <f t="shared" si="51"/>
        <v>0.40900000000000031</v>
      </c>
      <c r="H417" s="25">
        <f t="shared" si="49"/>
        <v>17.551567138490007</v>
      </c>
      <c r="J417">
        <f t="shared" si="50"/>
        <v>1.3013360821429085</v>
      </c>
    </row>
    <row r="418" spans="7:10" x14ac:dyDescent="0.25">
      <c r="G418">
        <f t="shared" si="51"/>
        <v>0.41000000000000031</v>
      </c>
      <c r="H418" s="25">
        <f t="shared" si="49"/>
        <v>17.620107645698951</v>
      </c>
      <c r="J418">
        <f t="shared" si="50"/>
        <v>1.3063505139775924</v>
      </c>
    </row>
    <row r="419" spans="7:10" x14ac:dyDescent="0.25">
      <c r="G419">
        <f t="shared" si="51"/>
        <v>0.41100000000000031</v>
      </c>
      <c r="H419" s="25">
        <f t="shared" si="49"/>
        <v>17.688702785795716</v>
      </c>
      <c r="J419">
        <f t="shared" si="50"/>
        <v>1.3113683543940278</v>
      </c>
    </row>
    <row r="420" spans="7:10" x14ac:dyDescent="0.25">
      <c r="G420">
        <f t="shared" si="51"/>
        <v>0.41200000000000031</v>
      </c>
      <c r="H420" s="25">
        <f t="shared" si="49"/>
        <v>17.757352045075532</v>
      </c>
      <c r="J420">
        <f t="shared" si="50"/>
        <v>1.3163895630175733</v>
      </c>
    </row>
    <row r="421" spans="7:10" x14ac:dyDescent="0.25">
      <c r="G421">
        <f t="shared" si="51"/>
        <v>0.41300000000000031</v>
      </c>
      <c r="H421" s="25">
        <f t="shared" si="49"/>
        <v>17.826054909833651</v>
      </c>
      <c r="J421">
        <f t="shared" si="50"/>
        <v>1.3214140994735897</v>
      </c>
    </row>
    <row r="422" spans="7:10" x14ac:dyDescent="0.25">
      <c r="G422">
        <f t="shared" si="51"/>
        <v>0.41400000000000031</v>
      </c>
      <c r="H422" s="25">
        <f t="shared" si="49"/>
        <v>17.894810866365304</v>
      </c>
      <c r="J422">
        <f t="shared" si="50"/>
        <v>1.3264419233874369</v>
      </c>
    </row>
    <row r="423" spans="7:10" x14ac:dyDescent="0.25">
      <c r="G423">
        <f t="shared" si="51"/>
        <v>0.41500000000000031</v>
      </c>
      <c r="H423" s="25">
        <f t="shared" si="49"/>
        <v>17.963619400965747</v>
      </c>
      <c r="J423">
        <f t="shared" si="50"/>
        <v>1.3314729943844754</v>
      </c>
    </row>
    <row r="424" spans="7:10" x14ac:dyDescent="0.25">
      <c r="G424">
        <f t="shared" si="51"/>
        <v>0.41600000000000031</v>
      </c>
      <c r="H424" s="25">
        <f t="shared" si="49"/>
        <v>18.032479999930207</v>
      </c>
      <c r="J424">
        <f t="shared" si="50"/>
        <v>1.3365072720900641</v>
      </c>
    </row>
    <row r="425" spans="7:10" x14ac:dyDescent="0.25">
      <c r="G425">
        <f t="shared" si="51"/>
        <v>0.41700000000000031</v>
      </c>
      <c r="H425" s="25">
        <f t="shared" si="49"/>
        <v>18.101392149553945</v>
      </c>
      <c r="J425">
        <f t="shared" si="50"/>
        <v>1.3415447161295644</v>
      </c>
    </row>
    <row r="426" spans="7:10" x14ac:dyDescent="0.25">
      <c r="G426">
        <f t="shared" si="51"/>
        <v>0.41800000000000032</v>
      </c>
      <c r="H426" s="25">
        <f t="shared" si="49"/>
        <v>18.170355336132182</v>
      </c>
      <c r="J426">
        <f t="shared" si="50"/>
        <v>1.3465852861283352</v>
      </c>
    </row>
    <row r="427" spans="7:10" x14ac:dyDescent="0.25">
      <c r="G427">
        <f t="shared" si="51"/>
        <v>0.41900000000000032</v>
      </c>
      <c r="H427" s="25">
        <f t="shared" si="49"/>
        <v>18.239369045960174</v>
      </c>
      <c r="J427">
        <f t="shared" si="50"/>
        <v>1.3516289417117373</v>
      </c>
    </row>
    <row r="428" spans="7:10" x14ac:dyDescent="0.25">
      <c r="G428">
        <f t="shared" si="51"/>
        <v>0.42000000000000032</v>
      </c>
      <c r="H428" s="25">
        <f t="shared" si="49"/>
        <v>18.308432765333158</v>
      </c>
      <c r="J428">
        <f t="shared" si="50"/>
        <v>1.3566756425051298</v>
      </c>
    </row>
    <row r="429" spans="7:10" x14ac:dyDescent="0.25">
      <c r="G429">
        <f t="shared" si="51"/>
        <v>0.42100000000000032</v>
      </c>
      <c r="H429" s="25">
        <f t="shared" si="49"/>
        <v>18.377545980546383</v>
      </c>
      <c r="J429">
        <f t="shared" si="50"/>
        <v>1.361725348133874</v>
      </c>
    </row>
    <row r="430" spans="7:10" x14ac:dyDescent="0.25">
      <c r="G430">
        <f t="shared" si="51"/>
        <v>0.42200000000000032</v>
      </c>
      <c r="H430" s="25">
        <f t="shared" si="49"/>
        <v>18.446708177895083</v>
      </c>
      <c r="J430">
        <f t="shared" si="50"/>
        <v>1.3667780182233287</v>
      </c>
    </row>
    <row r="431" spans="7:10" x14ac:dyDescent="0.25">
      <c r="G431">
        <f t="shared" si="51"/>
        <v>0.42300000000000032</v>
      </c>
      <c r="H431" s="25">
        <f t="shared" si="49"/>
        <v>18.515918843674505</v>
      </c>
      <c r="J431">
        <f t="shared" si="50"/>
        <v>1.3718336123988548</v>
      </c>
    </row>
    <row r="432" spans="7:10" x14ac:dyDescent="0.25">
      <c r="G432">
        <f t="shared" si="51"/>
        <v>0.42400000000000032</v>
      </c>
      <c r="H432" s="25">
        <f t="shared" si="49"/>
        <v>18.585177464179889</v>
      </c>
      <c r="J432">
        <f t="shared" si="50"/>
        <v>1.3768920902858117</v>
      </c>
    </row>
    <row r="433" spans="7:10" x14ac:dyDescent="0.25">
      <c r="G433">
        <f t="shared" si="51"/>
        <v>0.42500000000000032</v>
      </c>
      <c r="H433" s="25">
        <f t="shared" si="49"/>
        <v>18.654483525706482</v>
      </c>
      <c r="J433">
        <f t="shared" si="50"/>
        <v>1.3819534115095604</v>
      </c>
    </row>
    <row r="434" spans="7:10" x14ac:dyDescent="0.25">
      <c r="G434">
        <f t="shared" si="51"/>
        <v>0.42600000000000032</v>
      </c>
      <c r="H434" s="25">
        <f t="shared" si="49"/>
        <v>18.723836514549518</v>
      </c>
      <c r="J434">
        <f t="shared" si="50"/>
        <v>1.3870175356954593</v>
      </c>
    </row>
    <row r="435" spans="7:10" x14ac:dyDescent="0.25">
      <c r="G435">
        <f t="shared" si="51"/>
        <v>0.42700000000000032</v>
      </c>
      <c r="H435" s="25">
        <f t="shared" si="49"/>
        <v>18.79323591700425</v>
      </c>
      <c r="J435">
        <f t="shared" si="50"/>
        <v>1.3920844224688698</v>
      </c>
    </row>
    <row r="436" spans="7:10" x14ac:dyDescent="0.25">
      <c r="G436">
        <f t="shared" si="51"/>
        <v>0.42800000000000032</v>
      </c>
      <c r="H436" s="25">
        <f t="shared" si="49"/>
        <v>18.862681219365911</v>
      </c>
      <c r="J436">
        <f t="shared" si="50"/>
        <v>1.3971540314551518</v>
      </c>
    </row>
    <row r="437" spans="7:10" x14ac:dyDescent="0.25">
      <c r="G437">
        <f t="shared" si="51"/>
        <v>0.42900000000000033</v>
      </c>
      <c r="H437" s="25">
        <f t="shared" si="49"/>
        <v>18.932171907929746</v>
      </c>
      <c r="J437">
        <f t="shared" si="50"/>
        <v>1.4022263222796645</v>
      </c>
    </row>
    <row r="438" spans="7:10" x14ac:dyDescent="0.25">
      <c r="G438">
        <f t="shared" si="51"/>
        <v>0.43000000000000033</v>
      </c>
      <c r="H438" s="25">
        <f t="shared" si="49"/>
        <v>19.001707468990997</v>
      </c>
      <c r="J438">
        <f t="shared" si="50"/>
        <v>1.4073012545677688</v>
      </c>
    </row>
    <row r="439" spans="7:10" x14ac:dyDescent="0.25">
      <c r="G439">
        <f t="shared" si="51"/>
        <v>0.43100000000000033</v>
      </c>
      <c r="H439" s="25">
        <f t="shared" si="49"/>
        <v>19.071287388844908</v>
      </c>
      <c r="J439">
        <f t="shared" si="50"/>
        <v>1.4123787879448242</v>
      </c>
    </row>
    <row r="440" spans="7:10" x14ac:dyDescent="0.25">
      <c r="G440">
        <f t="shared" si="51"/>
        <v>0.43200000000000033</v>
      </c>
      <c r="H440" s="25">
        <f t="shared" si="49"/>
        <v>19.140911153786721</v>
      </c>
      <c r="J440">
        <f t="shared" si="50"/>
        <v>1.4174588820361906</v>
      </c>
    </row>
    <row r="441" spans="7:10" x14ac:dyDescent="0.25">
      <c r="G441">
        <f t="shared" si="51"/>
        <v>0.43300000000000033</v>
      </c>
      <c r="H441" s="25">
        <f t="shared" si="49"/>
        <v>19.210578250111677</v>
      </c>
      <c r="J441">
        <f t="shared" si="50"/>
        <v>1.4225414964672292</v>
      </c>
    </row>
    <row r="442" spans="7:10" x14ac:dyDescent="0.25">
      <c r="G442">
        <f t="shared" si="51"/>
        <v>0.43400000000000033</v>
      </c>
      <c r="H442" s="25">
        <f t="shared" si="49"/>
        <v>19.280288164115017</v>
      </c>
      <c r="J442">
        <f t="shared" si="50"/>
        <v>1.4276265908632981</v>
      </c>
    </row>
    <row r="443" spans="7:10" x14ac:dyDescent="0.25">
      <c r="G443">
        <f t="shared" si="51"/>
        <v>0.43500000000000033</v>
      </c>
      <c r="H443" s="25">
        <f t="shared" si="49"/>
        <v>19.35004038209199</v>
      </c>
      <c r="J443">
        <f t="shared" si="50"/>
        <v>1.432714124849759</v>
      </c>
    </row>
    <row r="444" spans="7:10" x14ac:dyDescent="0.25">
      <c r="G444">
        <f t="shared" si="51"/>
        <v>0.43600000000000033</v>
      </c>
      <c r="H444" s="25">
        <f t="shared" si="49"/>
        <v>19.419834390337829</v>
      </c>
      <c r="J444">
        <f t="shared" si="50"/>
        <v>1.4378040580519711</v>
      </c>
    </row>
    <row r="445" spans="7:10" x14ac:dyDescent="0.25">
      <c r="G445">
        <f t="shared" si="51"/>
        <v>0.43700000000000033</v>
      </c>
      <c r="H445" s="25">
        <f t="shared" si="49"/>
        <v>19.489669675147788</v>
      </c>
      <c r="J445">
        <f t="shared" si="50"/>
        <v>1.4428963500952947</v>
      </c>
    </row>
    <row r="446" spans="7:10" x14ac:dyDescent="0.25">
      <c r="G446">
        <f t="shared" si="51"/>
        <v>0.43800000000000033</v>
      </c>
      <c r="H446" s="25">
        <f t="shared" si="49"/>
        <v>19.559545722817091</v>
      </c>
      <c r="J446">
        <f t="shared" si="50"/>
        <v>1.4479909606050896</v>
      </c>
    </row>
    <row r="447" spans="7:10" x14ac:dyDescent="0.25">
      <c r="G447">
        <f t="shared" si="51"/>
        <v>0.43900000000000033</v>
      </c>
      <c r="H447" s="25">
        <f t="shared" si="49"/>
        <v>19.629462019641</v>
      </c>
      <c r="J447">
        <f t="shared" si="50"/>
        <v>1.4530878492067159</v>
      </c>
    </row>
    <row r="448" spans="7:10" x14ac:dyDescent="0.25">
      <c r="G448">
        <f t="shared" si="51"/>
        <v>0.44000000000000034</v>
      </c>
      <c r="H448" s="25">
        <f t="shared" si="49"/>
        <v>19.699418051914748</v>
      </c>
      <c r="J448">
        <f t="shared" si="50"/>
        <v>1.4581869755255339</v>
      </c>
    </row>
    <row r="449" spans="7:10" x14ac:dyDescent="0.25">
      <c r="G449">
        <f t="shared" si="51"/>
        <v>0.44100000000000034</v>
      </c>
      <c r="H449" s="25">
        <f t="shared" si="49"/>
        <v>19.769413305933579</v>
      </c>
      <c r="J449">
        <f t="shared" si="50"/>
        <v>1.4632882991869036</v>
      </c>
    </row>
    <row r="450" spans="7:10" x14ac:dyDescent="0.25">
      <c r="G450">
        <f t="shared" si="51"/>
        <v>0.44200000000000034</v>
      </c>
      <c r="H450" s="25">
        <f t="shared" si="49"/>
        <v>19.839447267992728</v>
      </c>
      <c r="J450">
        <f t="shared" si="50"/>
        <v>1.4683917798161843</v>
      </c>
    </row>
    <row r="451" spans="7:10" x14ac:dyDescent="0.25">
      <c r="G451">
        <f t="shared" si="51"/>
        <v>0.44300000000000034</v>
      </c>
      <c r="H451" s="25">
        <f t="shared" si="49"/>
        <v>19.909519424387454</v>
      </c>
      <c r="J451">
        <f t="shared" si="50"/>
        <v>1.4734973770387374</v>
      </c>
    </row>
    <row r="452" spans="7:10" x14ac:dyDescent="0.25">
      <c r="G452">
        <f t="shared" si="51"/>
        <v>0.44400000000000034</v>
      </c>
      <c r="H452" s="25">
        <f t="shared" si="49"/>
        <v>19.979629261412978</v>
      </c>
      <c r="J452">
        <f t="shared" si="50"/>
        <v>1.4786050504799213</v>
      </c>
    </row>
    <row r="453" spans="7:10" x14ac:dyDescent="0.25">
      <c r="G453">
        <f t="shared" si="51"/>
        <v>0.44500000000000034</v>
      </c>
      <c r="H453" s="25">
        <f t="shared" si="49"/>
        <v>20.04977626536456</v>
      </c>
      <c r="J453">
        <f t="shared" si="50"/>
        <v>1.483714759765097</v>
      </c>
    </row>
    <row r="454" spans="7:10" x14ac:dyDescent="0.25">
      <c r="G454">
        <f t="shared" si="51"/>
        <v>0.44600000000000034</v>
      </c>
      <c r="H454" s="25">
        <f t="shared" si="49"/>
        <v>20.119959922537429</v>
      </c>
      <c r="J454">
        <f t="shared" si="50"/>
        <v>1.4888264645196245</v>
      </c>
    </row>
    <row r="455" spans="7:10" x14ac:dyDescent="0.25">
      <c r="G455">
        <f t="shared" si="51"/>
        <v>0.44700000000000034</v>
      </c>
      <c r="H455" s="25">
        <f t="shared" si="49"/>
        <v>20.19017971922684</v>
      </c>
      <c r="J455">
        <f t="shared" si="50"/>
        <v>1.4939401243688635</v>
      </c>
    </row>
    <row r="456" spans="7:10" x14ac:dyDescent="0.25">
      <c r="G456">
        <f t="shared" si="51"/>
        <v>0.44800000000000034</v>
      </c>
      <c r="H456" s="25">
        <f t="shared" ref="H456:H519" si="52">$D$8*(1-G456)^3+3*$D$9*G456*(1-G456)^2+3*$D$10*(G456)^2*(1-G456)+(G456^3*$D$11)</f>
        <v>20.260435141728024</v>
      </c>
      <c r="J456">
        <f t="shared" si="50"/>
        <v>1.4990556989381743</v>
      </c>
    </row>
    <row r="457" spans="7:10" x14ac:dyDescent="0.25">
      <c r="G457">
        <f t="shared" si="51"/>
        <v>0.44900000000000034</v>
      </c>
      <c r="H457" s="25">
        <f t="shared" si="52"/>
        <v>20.330725676336236</v>
      </c>
      <c r="J457">
        <f t="shared" ref="J457:J520" si="53">$E$8*(1-G457)^3+3*$E$9*G457*(1-G457)^2+3*$E$10*(G457)^2*(1-G457)+(G457^3*$E$11)</f>
        <v>1.504173147852917</v>
      </c>
    </row>
    <row r="458" spans="7:10" x14ac:dyDescent="0.25">
      <c r="G458">
        <f t="shared" ref="G458:G521" si="54">G457+0.001</f>
        <v>0.45000000000000034</v>
      </c>
      <c r="H458" s="25">
        <f t="shared" si="52"/>
        <v>20.4010508093467</v>
      </c>
      <c r="J458">
        <f t="shared" si="53"/>
        <v>1.509292430738451</v>
      </c>
    </row>
    <row r="459" spans="7:10" x14ac:dyDescent="0.25">
      <c r="G459">
        <f t="shared" si="54"/>
        <v>0.45100000000000035</v>
      </c>
      <c r="H459" s="25">
        <f t="shared" si="52"/>
        <v>20.471410027054681</v>
      </c>
      <c r="J459">
        <f t="shared" si="53"/>
        <v>1.5144135072201372</v>
      </c>
    </row>
    <row r="460" spans="7:10" x14ac:dyDescent="0.25">
      <c r="G460">
        <f t="shared" si="54"/>
        <v>0.45200000000000035</v>
      </c>
      <c r="H460" s="25">
        <f t="shared" si="52"/>
        <v>20.541802815755396</v>
      </c>
      <c r="J460">
        <f t="shared" si="53"/>
        <v>1.519536336923335</v>
      </c>
    </row>
    <row r="461" spans="7:10" x14ac:dyDescent="0.25">
      <c r="G461">
        <f t="shared" si="54"/>
        <v>0.45300000000000035</v>
      </c>
      <c r="H461" s="25">
        <f t="shared" si="52"/>
        <v>20.612228661744108</v>
      </c>
      <c r="J461">
        <f t="shared" si="53"/>
        <v>1.5246608794734047</v>
      </c>
    </row>
    <row r="462" spans="7:10" x14ac:dyDescent="0.25">
      <c r="G462">
        <f t="shared" si="54"/>
        <v>0.45400000000000035</v>
      </c>
      <c r="H462" s="25">
        <f t="shared" si="52"/>
        <v>20.682687051316051</v>
      </c>
      <c r="J462">
        <f t="shared" si="53"/>
        <v>1.5297870944957062</v>
      </c>
    </row>
    <row r="463" spans="7:10" x14ac:dyDescent="0.25">
      <c r="G463">
        <f t="shared" si="54"/>
        <v>0.45500000000000035</v>
      </c>
      <c r="H463" s="25">
        <f t="shared" si="52"/>
        <v>20.75317747076647</v>
      </c>
      <c r="J463">
        <f t="shared" si="53"/>
        <v>1.5349149416155996</v>
      </c>
    </row>
    <row r="464" spans="7:10" x14ac:dyDescent="0.25">
      <c r="G464">
        <f t="shared" si="54"/>
        <v>0.45600000000000035</v>
      </c>
      <c r="H464" s="25">
        <f t="shared" si="52"/>
        <v>20.823699406390599</v>
      </c>
      <c r="J464">
        <f t="shared" si="53"/>
        <v>1.5400443804584447</v>
      </c>
    </row>
    <row r="465" spans="7:10" x14ac:dyDescent="0.25">
      <c r="G465">
        <f t="shared" si="54"/>
        <v>0.45700000000000035</v>
      </c>
      <c r="H465" s="25">
        <f t="shared" si="52"/>
        <v>20.894252344483693</v>
      </c>
      <c r="J465">
        <f t="shared" si="53"/>
        <v>1.5451753706496021</v>
      </c>
    </row>
    <row r="466" spans="7:10" x14ac:dyDescent="0.25">
      <c r="G466">
        <f t="shared" si="54"/>
        <v>0.45800000000000035</v>
      </c>
      <c r="H466" s="25">
        <f t="shared" si="52"/>
        <v>20.964835771340983</v>
      </c>
      <c r="J466">
        <f t="shared" si="53"/>
        <v>1.550307871814431</v>
      </c>
    </row>
    <row r="467" spans="7:10" x14ac:dyDescent="0.25">
      <c r="G467">
        <f t="shared" si="54"/>
        <v>0.45900000000000035</v>
      </c>
      <c r="H467" s="25">
        <f t="shared" si="52"/>
        <v>21.035449173257724</v>
      </c>
      <c r="J467">
        <f t="shared" si="53"/>
        <v>1.5554418435782924</v>
      </c>
    </row>
    <row r="468" spans="7:10" x14ac:dyDescent="0.25">
      <c r="G468">
        <f t="shared" si="54"/>
        <v>0.46000000000000035</v>
      </c>
      <c r="H468" s="25">
        <f t="shared" si="52"/>
        <v>21.106092036529141</v>
      </c>
      <c r="J468">
        <f t="shared" si="53"/>
        <v>1.5605772455665448</v>
      </c>
    </row>
    <row r="469" spans="7:10" x14ac:dyDescent="0.25">
      <c r="G469">
        <f t="shared" si="54"/>
        <v>0.46100000000000035</v>
      </c>
      <c r="H469" s="25">
        <f t="shared" si="52"/>
        <v>21.176763847450491</v>
      </c>
      <c r="J469">
        <f t="shared" si="53"/>
        <v>1.5657140374045504</v>
      </c>
    </row>
    <row r="470" spans="7:10" x14ac:dyDescent="0.25">
      <c r="G470">
        <f t="shared" si="54"/>
        <v>0.46200000000000035</v>
      </c>
      <c r="H470" s="25">
        <f t="shared" si="52"/>
        <v>21.247464092317006</v>
      </c>
      <c r="J470">
        <f t="shared" si="53"/>
        <v>1.5708521787176675</v>
      </c>
    </row>
    <row r="471" spans="7:10" x14ac:dyDescent="0.25">
      <c r="G471">
        <f t="shared" si="54"/>
        <v>0.46300000000000036</v>
      </c>
      <c r="H471" s="25">
        <f t="shared" si="52"/>
        <v>21.318192257423942</v>
      </c>
      <c r="J471">
        <f t="shared" si="53"/>
        <v>1.5759916291312568</v>
      </c>
    </row>
    <row r="472" spans="7:10" x14ac:dyDescent="0.25">
      <c r="G472">
        <f t="shared" si="54"/>
        <v>0.46400000000000036</v>
      </c>
      <c r="H472" s="25">
        <f t="shared" si="52"/>
        <v>21.388947829066524</v>
      </c>
      <c r="J472">
        <f t="shared" si="53"/>
        <v>1.5811323482706778</v>
      </c>
    </row>
    <row r="473" spans="7:10" x14ac:dyDescent="0.25">
      <c r="G473">
        <f t="shared" si="54"/>
        <v>0.46500000000000036</v>
      </c>
      <c r="H473" s="25">
        <f t="shared" si="52"/>
        <v>21.459730293540009</v>
      </c>
      <c r="J473">
        <f t="shared" si="53"/>
        <v>1.5862742957612916</v>
      </c>
    </row>
    <row r="474" spans="7:10" x14ac:dyDescent="0.25">
      <c r="G474">
        <f t="shared" si="54"/>
        <v>0.46600000000000036</v>
      </c>
      <c r="H474" s="25">
        <f t="shared" si="52"/>
        <v>21.530539137139627</v>
      </c>
      <c r="J474">
        <f t="shared" si="53"/>
        <v>1.5914174312284568</v>
      </c>
    </row>
    <row r="475" spans="7:10" x14ac:dyDescent="0.25">
      <c r="G475">
        <f t="shared" si="54"/>
        <v>0.46700000000000036</v>
      </c>
      <c r="H475" s="25">
        <f t="shared" si="52"/>
        <v>21.601373846160634</v>
      </c>
      <c r="J475">
        <f t="shared" si="53"/>
        <v>1.596561714297535</v>
      </c>
    </row>
    <row r="476" spans="7:10" x14ac:dyDescent="0.25">
      <c r="G476">
        <f t="shared" si="54"/>
        <v>0.46800000000000036</v>
      </c>
      <c r="H476" s="25">
        <f t="shared" si="52"/>
        <v>21.672233906898256</v>
      </c>
      <c r="J476">
        <f t="shared" si="53"/>
        <v>1.6017071045938849</v>
      </c>
    </row>
    <row r="477" spans="7:10" x14ac:dyDescent="0.25">
      <c r="G477">
        <f t="shared" si="54"/>
        <v>0.46900000000000036</v>
      </c>
      <c r="H477" s="25">
        <f t="shared" si="52"/>
        <v>21.743118805647754</v>
      </c>
      <c r="J477">
        <f t="shared" si="53"/>
        <v>1.6068535617428674</v>
      </c>
    </row>
    <row r="478" spans="7:10" x14ac:dyDescent="0.25">
      <c r="G478">
        <f t="shared" si="54"/>
        <v>0.47000000000000036</v>
      </c>
      <c r="H478" s="25">
        <f t="shared" si="52"/>
        <v>21.81402802870435</v>
      </c>
      <c r="J478">
        <f t="shared" si="53"/>
        <v>1.6120010453698415</v>
      </c>
    </row>
    <row r="479" spans="7:10" x14ac:dyDescent="0.25">
      <c r="G479">
        <f t="shared" si="54"/>
        <v>0.47100000000000036</v>
      </c>
      <c r="H479" s="25">
        <f t="shared" si="52"/>
        <v>21.884961062363306</v>
      </c>
      <c r="J479">
        <f t="shared" si="53"/>
        <v>1.6171495151001682</v>
      </c>
    </row>
    <row r="480" spans="7:10" x14ac:dyDescent="0.25">
      <c r="G480">
        <f t="shared" si="54"/>
        <v>0.47200000000000036</v>
      </c>
      <c r="H480" s="25">
        <f t="shared" si="52"/>
        <v>21.955917392919847</v>
      </c>
      <c r="J480">
        <f t="shared" si="53"/>
        <v>1.622298930559207</v>
      </c>
    </row>
    <row r="481" spans="7:10" x14ac:dyDescent="0.25">
      <c r="G481">
        <f t="shared" si="54"/>
        <v>0.47300000000000036</v>
      </c>
      <c r="H481" s="25">
        <f t="shared" si="52"/>
        <v>22.026896506669232</v>
      </c>
      <c r="J481">
        <f t="shared" si="53"/>
        <v>1.6274492513723187</v>
      </c>
    </row>
    <row r="482" spans="7:10" x14ac:dyDescent="0.25">
      <c r="G482">
        <f t="shared" si="54"/>
        <v>0.47400000000000037</v>
      </c>
      <c r="H482" s="25">
        <f t="shared" si="52"/>
        <v>22.097897889906683</v>
      </c>
      <c r="J482">
        <f t="shared" si="53"/>
        <v>1.6326004371648621</v>
      </c>
    </row>
    <row r="483" spans="7:10" x14ac:dyDescent="0.25">
      <c r="G483">
        <f t="shared" si="54"/>
        <v>0.47500000000000037</v>
      </c>
      <c r="H483" s="25">
        <f t="shared" si="52"/>
        <v>22.168921028927461</v>
      </c>
      <c r="J483">
        <f t="shared" si="53"/>
        <v>1.6377524475621985</v>
      </c>
    </row>
    <row r="484" spans="7:10" x14ac:dyDescent="0.25">
      <c r="G484">
        <f t="shared" si="54"/>
        <v>0.47600000000000037</v>
      </c>
      <c r="H484" s="25">
        <f t="shared" si="52"/>
        <v>22.239965410026798</v>
      </c>
      <c r="J484">
        <f t="shared" si="53"/>
        <v>1.6429052421896868</v>
      </c>
    </row>
    <row r="485" spans="7:10" x14ac:dyDescent="0.25">
      <c r="G485">
        <f t="shared" si="54"/>
        <v>0.47700000000000037</v>
      </c>
      <c r="H485" s="25">
        <f t="shared" si="52"/>
        <v>22.311030519499944</v>
      </c>
      <c r="J485">
        <f t="shared" si="53"/>
        <v>1.6480587806726876</v>
      </c>
    </row>
    <row r="486" spans="7:10" x14ac:dyDescent="0.25">
      <c r="G486">
        <f t="shared" si="54"/>
        <v>0.47800000000000037</v>
      </c>
      <c r="H486" s="25">
        <f t="shared" si="52"/>
        <v>22.382115843642133</v>
      </c>
      <c r="J486">
        <f t="shared" si="53"/>
        <v>1.6532130226365609</v>
      </c>
    </row>
    <row r="487" spans="7:10" x14ac:dyDescent="0.25">
      <c r="G487">
        <f t="shared" si="54"/>
        <v>0.47900000000000037</v>
      </c>
      <c r="H487" s="25">
        <f t="shared" si="52"/>
        <v>22.453220868748613</v>
      </c>
      <c r="J487">
        <f t="shared" si="53"/>
        <v>1.658367927706667</v>
      </c>
    </row>
    <row r="488" spans="7:10" x14ac:dyDescent="0.25">
      <c r="G488">
        <f t="shared" si="54"/>
        <v>0.48000000000000037</v>
      </c>
      <c r="H488" s="25">
        <f t="shared" si="52"/>
        <v>22.524345081114618</v>
      </c>
      <c r="J488">
        <f t="shared" si="53"/>
        <v>1.6635234555083649</v>
      </c>
    </row>
    <row r="489" spans="7:10" x14ac:dyDescent="0.25">
      <c r="G489">
        <f t="shared" si="54"/>
        <v>0.48100000000000037</v>
      </c>
      <c r="H489" s="25">
        <f t="shared" si="52"/>
        <v>22.5954879670354</v>
      </c>
      <c r="J489">
        <f t="shared" si="53"/>
        <v>1.6686795656670159</v>
      </c>
    </row>
    <row r="490" spans="7:10" x14ac:dyDescent="0.25">
      <c r="G490">
        <f t="shared" si="54"/>
        <v>0.48200000000000037</v>
      </c>
      <c r="H490" s="25">
        <f t="shared" si="52"/>
        <v>22.6666490128062</v>
      </c>
      <c r="J490">
        <f t="shared" si="53"/>
        <v>1.6738362178079795</v>
      </c>
    </row>
    <row r="491" spans="7:10" x14ac:dyDescent="0.25">
      <c r="G491">
        <f t="shared" si="54"/>
        <v>0.48300000000000037</v>
      </c>
      <c r="H491" s="25">
        <f t="shared" si="52"/>
        <v>22.737827704722257</v>
      </c>
      <c r="J491">
        <f t="shared" si="53"/>
        <v>1.6789933715566154</v>
      </c>
    </row>
    <row r="492" spans="7:10" x14ac:dyDescent="0.25">
      <c r="G492">
        <f t="shared" si="54"/>
        <v>0.48400000000000037</v>
      </c>
      <c r="H492" s="25">
        <f t="shared" si="52"/>
        <v>22.809023529078811</v>
      </c>
      <c r="J492">
        <f t="shared" si="53"/>
        <v>1.6841509865382833</v>
      </c>
    </row>
    <row r="493" spans="7:10" x14ac:dyDescent="0.25">
      <c r="G493">
        <f t="shared" si="54"/>
        <v>0.48500000000000038</v>
      </c>
      <c r="H493" s="25">
        <f t="shared" si="52"/>
        <v>22.880235972171114</v>
      </c>
      <c r="J493">
        <f t="shared" si="53"/>
        <v>1.6893090223783451</v>
      </c>
    </row>
    <row r="494" spans="7:10" x14ac:dyDescent="0.25">
      <c r="G494">
        <f t="shared" si="54"/>
        <v>0.48600000000000038</v>
      </c>
      <c r="H494" s="25">
        <f t="shared" si="52"/>
        <v>22.951464520294397</v>
      </c>
      <c r="J494">
        <f t="shared" si="53"/>
        <v>1.6944674387021588</v>
      </c>
    </row>
    <row r="495" spans="7:10" x14ac:dyDescent="0.25">
      <c r="G495">
        <f t="shared" si="54"/>
        <v>0.48700000000000038</v>
      </c>
      <c r="H495" s="25">
        <f t="shared" si="52"/>
        <v>23.022708659743913</v>
      </c>
      <c r="J495">
        <f t="shared" si="53"/>
        <v>1.6996261951350857</v>
      </c>
    </row>
    <row r="496" spans="7:10" x14ac:dyDescent="0.25">
      <c r="G496">
        <f t="shared" si="54"/>
        <v>0.48800000000000038</v>
      </c>
      <c r="H496" s="25">
        <f t="shared" si="52"/>
        <v>23.093967876814887</v>
      </c>
      <c r="J496">
        <f t="shared" si="53"/>
        <v>1.7047852513024844</v>
      </c>
    </row>
    <row r="497" spans="7:10" x14ac:dyDescent="0.25">
      <c r="G497">
        <f t="shared" si="54"/>
        <v>0.48900000000000038</v>
      </c>
      <c r="H497" s="25">
        <f t="shared" si="52"/>
        <v>23.165241657802579</v>
      </c>
      <c r="J497">
        <f t="shared" si="53"/>
        <v>1.7099445668297166</v>
      </c>
    </row>
    <row r="498" spans="7:10" x14ac:dyDescent="0.25">
      <c r="G498">
        <f t="shared" si="54"/>
        <v>0.49000000000000038</v>
      </c>
      <c r="H498" s="25">
        <f t="shared" si="52"/>
        <v>23.236529489002226</v>
      </c>
      <c r="J498">
        <f t="shared" si="53"/>
        <v>1.7151041013421411</v>
      </c>
    </row>
    <row r="499" spans="7:10" x14ac:dyDescent="0.25">
      <c r="G499">
        <f t="shared" si="54"/>
        <v>0.49100000000000038</v>
      </c>
      <c r="H499" s="25">
        <f t="shared" si="52"/>
        <v>23.307830856709074</v>
      </c>
      <c r="J499">
        <f t="shared" si="53"/>
        <v>1.720263814465119</v>
      </c>
    </row>
    <row r="500" spans="7:10" x14ac:dyDescent="0.25">
      <c r="G500">
        <f t="shared" si="54"/>
        <v>0.49200000000000038</v>
      </c>
      <c r="H500" s="25">
        <f t="shared" si="52"/>
        <v>23.379145247218354</v>
      </c>
      <c r="J500">
        <f t="shared" si="53"/>
        <v>1.7254236658240085</v>
      </c>
    </row>
    <row r="501" spans="7:10" x14ac:dyDescent="0.25">
      <c r="G501">
        <f t="shared" si="54"/>
        <v>0.49300000000000038</v>
      </c>
      <c r="H501" s="25">
        <f t="shared" si="52"/>
        <v>23.450472146825316</v>
      </c>
      <c r="J501">
        <f t="shared" si="53"/>
        <v>1.7305836150441722</v>
      </c>
    </row>
    <row r="502" spans="7:10" x14ac:dyDescent="0.25">
      <c r="G502">
        <f t="shared" si="54"/>
        <v>0.49400000000000038</v>
      </c>
      <c r="H502" s="25">
        <f t="shared" si="52"/>
        <v>23.521811041825202</v>
      </c>
      <c r="J502">
        <f t="shared" si="53"/>
        <v>1.7357436217509681</v>
      </c>
    </row>
    <row r="503" spans="7:10" x14ac:dyDescent="0.25">
      <c r="G503">
        <f t="shared" si="54"/>
        <v>0.49500000000000038</v>
      </c>
      <c r="H503" s="25">
        <f t="shared" si="52"/>
        <v>23.593161418513255</v>
      </c>
      <c r="J503">
        <f t="shared" si="53"/>
        <v>1.7409036455697569</v>
      </c>
    </row>
    <row r="504" spans="7:10" x14ac:dyDescent="0.25">
      <c r="G504">
        <f t="shared" si="54"/>
        <v>0.49600000000000039</v>
      </c>
      <c r="H504" s="25">
        <f t="shared" si="52"/>
        <v>23.66452276318471</v>
      </c>
      <c r="J504">
        <f t="shared" si="53"/>
        <v>1.7460636461258985</v>
      </c>
    </row>
    <row r="505" spans="7:10" x14ac:dyDescent="0.25">
      <c r="G505">
        <f t="shared" si="54"/>
        <v>0.49700000000000039</v>
      </c>
      <c r="H505" s="25">
        <f t="shared" si="52"/>
        <v>23.735894562134824</v>
      </c>
      <c r="J505">
        <f t="shared" si="53"/>
        <v>1.7512235830447533</v>
      </c>
    </row>
    <row r="506" spans="7:10" x14ac:dyDescent="0.25">
      <c r="G506">
        <f t="shared" si="54"/>
        <v>0.49800000000000039</v>
      </c>
      <c r="H506" s="25">
        <f t="shared" si="52"/>
        <v>23.807276301658813</v>
      </c>
      <c r="J506">
        <f t="shared" si="53"/>
        <v>1.7563834159516807</v>
      </c>
    </row>
    <row r="507" spans="7:10" x14ac:dyDescent="0.25">
      <c r="G507">
        <f t="shared" si="54"/>
        <v>0.49900000000000039</v>
      </c>
      <c r="H507" s="25">
        <f t="shared" si="52"/>
        <v>23.878667468051955</v>
      </c>
      <c r="J507">
        <f t="shared" si="53"/>
        <v>1.7615431044720415</v>
      </c>
    </row>
    <row r="508" spans="7:10" x14ac:dyDescent="0.25">
      <c r="G508">
        <f t="shared" si="54"/>
        <v>0.50000000000000033</v>
      </c>
      <c r="H508" s="25">
        <f t="shared" si="52"/>
        <v>23.950067547609464</v>
      </c>
      <c r="J508">
        <f t="shared" si="53"/>
        <v>1.7667026082311947</v>
      </c>
    </row>
    <row r="509" spans="7:10" x14ac:dyDescent="0.25">
      <c r="G509">
        <f t="shared" si="54"/>
        <v>0.50100000000000033</v>
      </c>
      <c r="H509" s="25">
        <f t="shared" si="52"/>
        <v>24.021476026626591</v>
      </c>
      <c r="J509">
        <f t="shared" si="53"/>
        <v>1.7718618868545013</v>
      </c>
    </row>
    <row r="510" spans="7:10" x14ac:dyDescent="0.25">
      <c r="G510">
        <f t="shared" si="54"/>
        <v>0.50200000000000033</v>
      </c>
      <c r="H510" s="25">
        <f t="shared" si="52"/>
        <v>24.092892391398589</v>
      </c>
      <c r="J510">
        <f t="shared" si="53"/>
        <v>1.7770208999673209</v>
      </c>
    </row>
    <row r="511" spans="7:10" x14ac:dyDescent="0.25">
      <c r="G511">
        <f t="shared" si="54"/>
        <v>0.50300000000000034</v>
      </c>
      <c r="H511" s="25">
        <f t="shared" si="52"/>
        <v>24.164316128220676</v>
      </c>
      <c r="J511">
        <f t="shared" si="53"/>
        <v>1.7821796071950138</v>
      </c>
    </row>
    <row r="512" spans="7:10" x14ac:dyDescent="0.25">
      <c r="G512">
        <f t="shared" si="54"/>
        <v>0.50400000000000034</v>
      </c>
      <c r="H512" s="25">
        <f t="shared" si="52"/>
        <v>24.235746723388125</v>
      </c>
      <c r="J512">
        <f t="shared" si="53"/>
        <v>1.7873379681629398</v>
      </c>
    </row>
    <row r="513" spans="7:10" x14ac:dyDescent="0.25">
      <c r="G513">
        <f t="shared" si="54"/>
        <v>0.50500000000000034</v>
      </c>
      <c r="H513" s="25">
        <f t="shared" si="52"/>
        <v>24.307183663196156</v>
      </c>
      <c r="J513">
        <f t="shared" si="53"/>
        <v>1.7924959424964588</v>
      </c>
    </row>
    <row r="514" spans="7:10" x14ac:dyDescent="0.25">
      <c r="G514">
        <f t="shared" si="54"/>
        <v>0.50600000000000034</v>
      </c>
      <c r="H514" s="25">
        <f t="shared" si="52"/>
        <v>24.37862643394001</v>
      </c>
      <c r="J514">
        <f t="shared" si="53"/>
        <v>1.7976534898209307</v>
      </c>
    </row>
    <row r="515" spans="7:10" x14ac:dyDescent="0.25">
      <c r="G515">
        <f t="shared" si="54"/>
        <v>0.50700000000000034</v>
      </c>
      <c r="H515" s="25">
        <f t="shared" si="52"/>
        <v>24.450074521914949</v>
      </c>
      <c r="J515">
        <f t="shared" si="53"/>
        <v>1.8028105697617163</v>
      </c>
    </row>
    <row r="516" spans="7:10" x14ac:dyDescent="0.25">
      <c r="G516">
        <f t="shared" si="54"/>
        <v>0.50800000000000034</v>
      </c>
      <c r="H516" s="25">
        <f t="shared" si="52"/>
        <v>24.521527413416194</v>
      </c>
      <c r="J516">
        <f t="shared" si="53"/>
        <v>1.8079671419441747</v>
      </c>
    </row>
    <row r="517" spans="7:10" x14ac:dyDescent="0.25">
      <c r="G517">
        <f t="shared" si="54"/>
        <v>0.50900000000000034</v>
      </c>
      <c r="H517" s="25">
        <f t="shared" si="52"/>
        <v>24.592984594739001</v>
      </c>
      <c r="J517">
        <f t="shared" si="53"/>
        <v>1.8131231659936664</v>
      </c>
    </row>
    <row r="518" spans="7:10" x14ac:dyDescent="0.25">
      <c r="G518">
        <f t="shared" si="54"/>
        <v>0.51000000000000034</v>
      </c>
      <c r="H518" s="25">
        <f t="shared" si="52"/>
        <v>24.664445552178606</v>
      </c>
      <c r="J518">
        <f t="shared" si="53"/>
        <v>1.8182786015355514</v>
      </c>
    </row>
    <row r="519" spans="7:10" x14ac:dyDescent="0.25">
      <c r="G519">
        <f t="shared" si="54"/>
        <v>0.51100000000000034</v>
      </c>
      <c r="H519" s="25">
        <f t="shared" si="52"/>
        <v>24.735909772030254</v>
      </c>
      <c r="J519">
        <f t="shared" si="53"/>
        <v>1.8234334081951897</v>
      </c>
    </row>
    <row r="520" spans="7:10" x14ac:dyDescent="0.25">
      <c r="G520">
        <f t="shared" si="54"/>
        <v>0.51200000000000034</v>
      </c>
      <c r="H520" s="25">
        <f t="shared" ref="H520:H583" si="55">$D$8*(1-G520)^3+3*$D$9*G520*(1-G520)^2+3*$D$10*(G520)^2*(1-G520)+(G520^3*$D$11)</f>
        <v>24.807376740589195</v>
      </c>
      <c r="J520">
        <f t="shared" si="53"/>
        <v>1.8285875455979417</v>
      </c>
    </row>
    <row r="521" spans="7:10" x14ac:dyDescent="0.25">
      <c r="G521">
        <f t="shared" si="54"/>
        <v>0.51300000000000034</v>
      </c>
      <c r="H521" s="25">
        <f t="shared" si="55"/>
        <v>24.878845944150655</v>
      </c>
      <c r="J521">
        <f t="shared" ref="J521:J584" si="56">$E$8*(1-G521)^3+3*$E$9*G521*(1-G521)^2+3*$E$10*(G521)^2*(1-G521)+(G521^3*$E$11)</f>
        <v>1.8337409733691665</v>
      </c>
    </row>
    <row r="522" spans="7:10" x14ac:dyDescent="0.25">
      <c r="G522">
        <f t="shared" ref="G522:G585" si="57">G521+0.001</f>
        <v>0.51400000000000035</v>
      </c>
      <c r="H522" s="25">
        <f t="shared" si="55"/>
        <v>24.950316869009882</v>
      </c>
      <c r="J522">
        <f t="shared" si="56"/>
        <v>1.8388936511342244</v>
      </c>
    </row>
    <row r="523" spans="7:10" x14ac:dyDescent="0.25">
      <c r="G523">
        <f t="shared" si="57"/>
        <v>0.51500000000000035</v>
      </c>
      <c r="H523" s="25">
        <f t="shared" si="55"/>
        <v>25.021789001462118</v>
      </c>
      <c r="J523">
        <f t="shared" si="56"/>
        <v>1.8440455385184762</v>
      </c>
    </row>
    <row r="524" spans="7:10" x14ac:dyDescent="0.25">
      <c r="G524">
        <f t="shared" si="57"/>
        <v>0.51600000000000035</v>
      </c>
      <c r="H524" s="25">
        <f t="shared" si="55"/>
        <v>25.093261827802614</v>
      </c>
      <c r="J524">
        <f t="shared" si="56"/>
        <v>1.8491965951472817</v>
      </c>
    </row>
    <row r="525" spans="7:10" x14ac:dyDescent="0.25">
      <c r="G525">
        <f t="shared" si="57"/>
        <v>0.51700000000000035</v>
      </c>
      <c r="H525" s="25">
        <f t="shared" si="55"/>
        <v>25.164734834326598</v>
      </c>
      <c r="J525">
        <f t="shared" si="56"/>
        <v>1.8543467806460001</v>
      </c>
    </row>
    <row r="526" spans="7:10" x14ac:dyDescent="0.25">
      <c r="G526">
        <f t="shared" si="57"/>
        <v>0.51800000000000035</v>
      </c>
      <c r="H526" s="25">
        <f t="shared" si="55"/>
        <v>25.236207507329318</v>
      </c>
      <c r="J526">
        <f t="shared" si="56"/>
        <v>1.8594960546399917</v>
      </c>
    </row>
    <row r="527" spans="7:10" x14ac:dyDescent="0.25">
      <c r="G527">
        <f t="shared" si="57"/>
        <v>0.51900000000000035</v>
      </c>
      <c r="H527" s="25">
        <f t="shared" si="55"/>
        <v>25.30767933310603</v>
      </c>
      <c r="J527">
        <f t="shared" si="56"/>
        <v>1.8646443767546175</v>
      </c>
    </row>
    <row r="528" spans="7:10" x14ac:dyDescent="0.25">
      <c r="G528">
        <f t="shared" si="57"/>
        <v>0.52000000000000035</v>
      </c>
      <c r="H528" s="25">
        <f t="shared" si="55"/>
        <v>25.379149797951957</v>
      </c>
      <c r="J528">
        <f t="shared" si="56"/>
        <v>1.8697917066152363</v>
      </c>
    </row>
    <row r="529" spans="7:10" x14ac:dyDescent="0.25">
      <c r="G529">
        <f t="shared" si="57"/>
        <v>0.52100000000000035</v>
      </c>
      <c r="H529" s="25">
        <f t="shared" si="55"/>
        <v>25.450618388162354</v>
      </c>
      <c r="J529">
        <f t="shared" si="56"/>
        <v>1.8749380038472088</v>
      </c>
    </row>
    <row r="530" spans="7:10" x14ac:dyDescent="0.25">
      <c r="G530">
        <f t="shared" si="57"/>
        <v>0.52200000000000035</v>
      </c>
      <c r="H530" s="25">
        <f t="shared" si="55"/>
        <v>25.522084590032453</v>
      </c>
      <c r="J530">
        <f t="shared" si="56"/>
        <v>1.880083228075895</v>
      </c>
    </row>
    <row r="531" spans="7:10" x14ac:dyDescent="0.25">
      <c r="G531">
        <f t="shared" si="57"/>
        <v>0.52300000000000035</v>
      </c>
      <c r="H531" s="25">
        <f t="shared" si="55"/>
        <v>25.593547889857501</v>
      </c>
      <c r="J531">
        <f t="shared" si="56"/>
        <v>1.8852273389266543</v>
      </c>
    </row>
    <row r="532" spans="7:10" x14ac:dyDescent="0.25">
      <c r="G532">
        <f t="shared" si="57"/>
        <v>0.52400000000000035</v>
      </c>
      <c r="H532" s="25">
        <f t="shared" si="55"/>
        <v>25.665007773932746</v>
      </c>
      <c r="J532">
        <f t="shared" si="56"/>
        <v>1.8903702960248479</v>
      </c>
    </row>
    <row r="533" spans="7:10" x14ac:dyDescent="0.25">
      <c r="G533">
        <f t="shared" si="57"/>
        <v>0.52500000000000036</v>
      </c>
      <c r="H533" s="25">
        <f t="shared" si="55"/>
        <v>25.736463728553421</v>
      </c>
      <c r="J533">
        <f t="shared" si="56"/>
        <v>1.8955120589958347</v>
      </c>
    </row>
    <row r="534" spans="7:10" x14ac:dyDescent="0.25">
      <c r="G534">
        <f t="shared" si="57"/>
        <v>0.52600000000000036</v>
      </c>
      <c r="H534" s="25">
        <f t="shared" si="55"/>
        <v>25.807915240014772</v>
      </c>
      <c r="J534">
        <f t="shared" si="56"/>
        <v>1.9006525874649753</v>
      </c>
    </row>
    <row r="535" spans="7:10" x14ac:dyDescent="0.25">
      <c r="G535">
        <f t="shared" si="57"/>
        <v>0.52700000000000036</v>
      </c>
      <c r="H535" s="25">
        <f t="shared" si="55"/>
        <v>25.879361794612045</v>
      </c>
      <c r="J535">
        <f t="shared" si="56"/>
        <v>1.9057918410576296</v>
      </c>
    </row>
    <row r="536" spans="7:10" x14ac:dyDescent="0.25">
      <c r="G536">
        <f t="shared" si="57"/>
        <v>0.52800000000000036</v>
      </c>
      <c r="H536" s="25">
        <f t="shared" si="55"/>
        <v>25.95080287864047</v>
      </c>
      <c r="J536">
        <f t="shared" si="56"/>
        <v>1.9109297793991571</v>
      </c>
    </row>
    <row r="537" spans="7:10" x14ac:dyDescent="0.25">
      <c r="G537">
        <f t="shared" si="57"/>
        <v>0.52900000000000036</v>
      </c>
      <c r="H537" s="25">
        <f t="shared" si="55"/>
        <v>26.02223797839531</v>
      </c>
      <c r="J537">
        <f t="shared" si="56"/>
        <v>1.9160663621149192</v>
      </c>
    </row>
    <row r="538" spans="7:10" x14ac:dyDescent="0.25">
      <c r="G538">
        <f t="shared" si="57"/>
        <v>0.53000000000000036</v>
      </c>
      <c r="H538" s="25">
        <f t="shared" si="55"/>
        <v>26.093666580171785</v>
      </c>
      <c r="J538">
        <f t="shared" si="56"/>
        <v>1.9212015488302743</v>
      </c>
    </row>
    <row r="539" spans="7:10" x14ac:dyDescent="0.25">
      <c r="G539">
        <f t="shared" si="57"/>
        <v>0.53100000000000036</v>
      </c>
      <c r="H539" s="25">
        <f t="shared" si="55"/>
        <v>26.165088170265157</v>
      </c>
      <c r="J539">
        <f t="shared" si="56"/>
        <v>1.9263352991705838</v>
      </c>
    </row>
    <row r="540" spans="7:10" x14ac:dyDescent="0.25">
      <c r="G540">
        <f t="shared" si="57"/>
        <v>0.53200000000000036</v>
      </c>
      <c r="H540" s="25">
        <f t="shared" si="55"/>
        <v>26.236502234970651</v>
      </c>
      <c r="J540">
        <f t="shared" si="56"/>
        <v>1.9314675727612065</v>
      </c>
    </row>
    <row r="541" spans="7:10" x14ac:dyDescent="0.25">
      <c r="G541">
        <f t="shared" si="57"/>
        <v>0.53300000000000036</v>
      </c>
      <c r="H541" s="25">
        <f t="shared" si="55"/>
        <v>26.30790826058352</v>
      </c>
      <c r="J541">
        <f t="shared" si="56"/>
        <v>1.9365983292275031</v>
      </c>
    </row>
    <row r="542" spans="7:10" x14ac:dyDescent="0.25">
      <c r="G542">
        <f t="shared" si="57"/>
        <v>0.53400000000000036</v>
      </c>
      <c r="H542" s="25">
        <f t="shared" si="55"/>
        <v>26.379305733399011</v>
      </c>
      <c r="J542">
        <f t="shared" si="56"/>
        <v>1.9417275281948345</v>
      </c>
    </row>
    <row r="543" spans="7:10" x14ac:dyDescent="0.25">
      <c r="G543">
        <f t="shared" si="57"/>
        <v>0.53500000000000036</v>
      </c>
      <c r="H543" s="25">
        <f t="shared" si="55"/>
        <v>26.450694139712347</v>
      </c>
      <c r="J543">
        <f t="shared" si="56"/>
        <v>1.9468551292885588</v>
      </c>
    </row>
    <row r="544" spans="7:10" x14ac:dyDescent="0.25">
      <c r="G544">
        <f t="shared" si="57"/>
        <v>0.53600000000000037</v>
      </c>
      <c r="H544" s="25">
        <f t="shared" si="55"/>
        <v>26.522072965818786</v>
      </c>
      <c r="J544">
        <f t="shared" si="56"/>
        <v>1.9519810921340373</v>
      </c>
    </row>
    <row r="545" spans="7:10" x14ac:dyDescent="0.25">
      <c r="G545">
        <f t="shared" si="57"/>
        <v>0.53700000000000037</v>
      </c>
      <c r="H545" s="25">
        <f t="shared" si="55"/>
        <v>26.593441698013567</v>
      </c>
      <c r="J545">
        <f t="shared" si="56"/>
        <v>1.9571053763566297</v>
      </c>
    </row>
    <row r="546" spans="7:10" x14ac:dyDescent="0.25">
      <c r="G546">
        <f t="shared" si="57"/>
        <v>0.53800000000000037</v>
      </c>
      <c r="H546" s="25">
        <f t="shared" si="55"/>
        <v>26.664799822591934</v>
      </c>
      <c r="J546">
        <f t="shared" si="56"/>
        <v>1.9622279415816961</v>
      </c>
    </row>
    <row r="547" spans="7:10" x14ac:dyDescent="0.25">
      <c r="G547">
        <f t="shared" si="57"/>
        <v>0.53900000000000037</v>
      </c>
      <c r="H547" s="25">
        <f t="shared" si="55"/>
        <v>26.736146825849129</v>
      </c>
      <c r="J547">
        <f t="shared" si="56"/>
        <v>1.9673487474345968</v>
      </c>
    </row>
    <row r="548" spans="7:10" x14ac:dyDescent="0.25">
      <c r="G548">
        <f t="shared" si="57"/>
        <v>0.54000000000000037</v>
      </c>
      <c r="H548" s="25">
        <f t="shared" si="55"/>
        <v>26.807482194080386</v>
      </c>
      <c r="J548">
        <f t="shared" si="56"/>
        <v>1.9724677535406909</v>
      </c>
    </row>
    <row r="549" spans="7:10" x14ac:dyDescent="0.25">
      <c r="G549">
        <f t="shared" si="57"/>
        <v>0.54100000000000037</v>
      </c>
      <c r="H549" s="25">
        <f t="shared" si="55"/>
        <v>26.878805413580956</v>
      </c>
      <c r="J549">
        <f t="shared" si="56"/>
        <v>1.9775849195253397</v>
      </c>
    </row>
    <row r="550" spans="7:10" x14ac:dyDescent="0.25">
      <c r="G550">
        <f t="shared" si="57"/>
        <v>0.54200000000000037</v>
      </c>
      <c r="H550" s="25">
        <f t="shared" si="55"/>
        <v>26.950115970646078</v>
      </c>
      <c r="J550">
        <f t="shared" si="56"/>
        <v>1.9827002050139022</v>
      </c>
    </row>
    <row r="551" spans="7:10" x14ac:dyDescent="0.25">
      <c r="G551">
        <f t="shared" si="57"/>
        <v>0.54300000000000037</v>
      </c>
      <c r="H551" s="25">
        <f t="shared" si="55"/>
        <v>27.021413351570999</v>
      </c>
      <c r="J551">
        <f t="shared" si="56"/>
        <v>1.9878135696317387</v>
      </c>
    </row>
    <row r="552" spans="7:10" x14ac:dyDescent="0.25">
      <c r="G552">
        <f t="shared" si="57"/>
        <v>0.54400000000000037</v>
      </c>
      <c r="H552" s="25">
        <f t="shared" si="55"/>
        <v>27.092697042650954</v>
      </c>
      <c r="J552">
        <f t="shared" si="56"/>
        <v>1.9929249730042093</v>
      </c>
    </row>
    <row r="553" spans="7:10" x14ac:dyDescent="0.25">
      <c r="G553">
        <f t="shared" si="57"/>
        <v>0.54500000000000037</v>
      </c>
      <c r="H553" s="25">
        <f t="shared" si="55"/>
        <v>27.163966530181185</v>
      </c>
      <c r="J553">
        <f t="shared" si="56"/>
        <v>1.9980343747566742</v>
      </c>
    </row>
    <row r="554" spans="7:10" x14ac:dyDescent="0.25">
      <c r="G554">
        <f t="shared" si="57"/>
        <v>0.54600000000000037</v>
      </c>
      <c r="H554" s="25">
        <f t="shared" si="55"/>
        <v>27.235221300456942</v>
      </c>
      <c r="J554">
        <f t="shared" si="56"/>
        <v>2.0031417345144931</v>
      </c>
    </row>
    <row r="555" spans="7:10" x14ac:dyDescent="0.25">
      <c r="G555">
        <f t="shared" si="57"/>
        <v>0.54700000000000037</v>
      </c>
      <c r="H555" s="25">
        <f t="shared" si="55"/>
        <v>27.306460839773464</v>
      </c>
      <c r="J555">
        <f t="shared" si="56"/>
        <v>2.008247011903026</v>
      </c>
    </row>
    <row r="556" spans="7:10" x14ac:dyDescent="0.25">
      <c r="G556">
        <f t="shared" si="57"/>
        <v>0.54800000000000038</v>
      </c>
      <c r="H556" s="25">
        <f t="shared" si="55"/>
        <v>27.377684634425989</v>
      </c>
      <c r="J556">
        <f t="shared" si="56"/>
        <v>2.0133501665476339</v>
      </c>
    </row>
    <row r="557" spans="7:10" x14ac:dyDescent="0.25">
      <c r="G557">
        <f t="shared" si="57"/>
        <v>0.54900000000000038</v>
      </c>
      <c r="H557" s="25">
        <f t="shared" si="55"/>
        <v>27.448892170709769</v>
      </c>
      <c r="J557">
        <f t="shared" si="56"/>
        <v>2.0184511580736757</v>
      </c>
    </row>
    <row r="558" spans="7:10" x14ac:dyDescent="0.25">
      <c r="G558">
        <f t="shared" si="57"/>
        <v>0.55000000000000038</v>
      </c>
      <c r="H558" s="25">
        <f t="shared" si="55"/>
        <v>27.52008293492004</v>
      </c>
      <c r="J558">
        <f t="shared" si="56"/>
        <v>2.0235499461065114</v>
      </c>
    </row>
    <row r="559" spans="7:10" x14ac:dyDescent="0.25">
      <c r="G559">
        <f t="shared" si="57"/>
        <v>0.55100000000000038</v>
      </c>
      <c r="H559" s="25">
        <f t="shared" si="55"/>
        <v>27.591256413352035</v>
      </c>
      <c r="J559">
        <f t="shared" si="56"/>
        <v>2.0286464902715013</v>
      </c>
    </row>
    <row r="560" spans="7:10" x14ac:dyDescent="0.25">
      <c r="G560">
        <f t="shared" si="57"/>
        <v>0.55200000000000038</v>
      </c>
      <c r="H560" s="25">
        <f t="shared" si="55"/>
        <v>27.662412092301015</v>
      </c>
      <c r="J560">
        <f t="shared" si="56"/>
        <v>2.0337407501940059</v>
      </c>
    </row>
    <row r="561" spans="7:10" x14ac:dyDescent="0.25">
      <c r="G561">
        <f t="shared" si="57"/>
        <v>0.55300000000000038</v>
      </c>
      <c r="H561" s="25">
        <f t="shared" si="55"/>
        <v>27.733549458062214</v>
      </c>
      <c r="J561">
        <f t="shared" si="56"/>
        <v>2.038832685499385</v>
      </c>
    </row>
    <row r="562" spans="7:10" x14ac:dyDescent="0.25">
      <c r="G562">
        <f t="shared" si="57"/>
        <v>0.55400000000000038</v>
      </c>
      <c r="H562" s="25">
        <f t="shared" si="55"/>
        <v>27.80466799693086</v>
      </c>
      <c r="J562">
        <f t="shared" si="56"/>
        <v>2.0439222558129977</v>
      </c>
    </row>
    <row r="563" spans="7:10" x14ac:dyDescent="0.25">
      <c r="G563">
        <f t="shared" si="57"/>
        <v>0.55500000000000038</v>
      </c>
      <c r="H563" s="25">
        <f t="shared" si="55"/>
        <v>27.875767195202222</v>
      </c>
      <c r="J563">
        <f t="shared" si="56"/>
        <v>2.0490094207602061</v>
      </c>
    </row>
    <row r="564" spans="7:10" x14ac:dyDescent="0.25">
      <c r="G564">
        <f t="shared" si="57"/>
        <v>0.55600000000000038</v>
      </c>
      <c r="H564" s="25">
        <f t="shared" si="55"/>
        <v>27.946846539171517</v>
      </c>
      <c r="J564">
        <f t="shared" si="56"/>
        <v>2.0540941399663675</v>
      </c>
    </row>
    <row r="565" spans="7:10" x14ac:dyDescent="0.25">
      <c r="G565">
        <f t="shared" si="57"/>
        <v>0.55700000000000038</v>
      </c>
      <c r="H565" s="25">
        <f t="shared" si="55"/>
        <v>28.017905515134018</v>
      </c>
      <c r="J565">
        <f t="shared" si="56"/>
        <v>2.059176373056844</v>
      </c>
    </row>
    <row r="566" spans="7:10" x14ac:dyDescent="0.25">
      <c r="G566">
        <f t="shared" si="57"/>
        <v>0.55800000000000038</v>
      </c>
      <c r="H566" s="25">
        <f t="shared" si="55"/>
        <v>28.088943609384931</v>
      </c>
      <c r="J566">
        <f t="shared" si="56"/>
        <v>2.0642560796569951</v>
      </c>
    </row>
    <row r="567" spans="7:10" x14ac:dyDescent="0.25">
      <c r="G567">
        <f t="shared" si="57"/>
        <v>0.55900000000000039</v>
      </c>
      <c r="H567" s="25">
        <f t="shared" si="55"/>
        <v>28.159960308219524</v>
      </c>
      <c r="J567">
        <f t="shared" si="56"/>
        <v>2.0693332193921807</v>
      </c>
    </row>
    <row r="568" spans="7:10" x14ac:dyDescent="0.25">
      <c r="G568">
        <f t="shared" si="57"/>
        <v>0.56000000000000039</v>
      </c>
      <c r="H568" s="25">
        <f t="shared" si="55"/>
        <v>28.230955097933023</v>
      </c>
      <c r="J568">
        <f t="shared" si="56"/>
        <v>2.0744077518877604</v>
      </c>
    </row>
    <row r="569" spans="7:10" x14ac:dyDescent="0.25">
      <c r="G569">
        <f t="shared" si="57"/>
        <v>0.56100000000000039</v>
      </c>
      <c r="H569" s="25">
        <f t="shared" si="55"/>
        <v>28.301927464820682</v>
      </c>
      <c r="J569">
        <f t="shared" si="56"/>
        <v>2.0794796367690949</v>
      </c>
    </row>
    <row r="570" spans="7:10" x14ac:dyDescent="0.25">
      <c r="G570">
        <f t="shared" si="57"/>
        <v>0.56200000000000039</v>
      </c>
      <c r="H570" s="25">
        <f t="shared" si="55"/>
        <v>28.372876895177747</v>
      </c>
      <c r="J570">
        <f t="shared" si="56"/>
        <v>2.0845488336615441</v>
      </c>
    </row>
    <row r="571" spans="7:10" x14ac:dyDescent="0.25">
      <c r="G571">
        <f t="shared" si="57"/>
        <v>0.56300000000000039</v>
      </c>
      <c r="H571" s="25">
        <f t="shared" si="55"/>
        <v>28.443802875299447</v>
      </c>
      <c r="J571">
        <f t="shared" si="56"/>
        <v>2.0896153021904675</v>
      </c>
    </row>
    <row r="572" spans="7:10" x14ac:dyDescent="0.25">
      <c r="G572">
        <f t="shared" si="57"/>
        <v>0.56400000000000039</v>
      </c>
      <c r="H572" s="25">
        <f t="shared" si="55"/>
        <v>28.514704891481028</v>
      </c>
      <c r="J572">
        <f t="shared" si="56"/>
        <v>2.0946790019812256</v>
      </c>
    </row>
    <row r="573" spans="7:10" x14ac:dyDescent="0.25">
      <c r="G573">
        <f t="shared" si="57"/>
        <v>0.56500000000000039</v>
      </c>
      <c r="H573" s="25">
        <f t="shared" si="55"/>
        <v>28.585582430017737</v>
      </c>
      <c r="J573">
        <f t="shared" si="56"/>
        <v>2.0997398926591786</v>
      </c>
    </row>
    <row r="574" spans="7:10" x14ac:dyDescent="0.25">
      <c r="G574">
        <f t="shared" si="57"/>
        <v>0.56600000000000039</v>
      </c>
      <c r="H574" s="25">
        <f t="shared" si="55"/>
        <v>28.65643497720481</v>
      </c>
      <c r="J574">
        <f t="shared" si="56"/>
        <v>2.1047979338496861</v>
      </c>
    </row>
    <row r="575" spans="7:10" x14ac:dyDescent="0.25">
      <c r="G575">
        <f t="shared" si="57"/>
        <v>0.56700000000000039</v>
      </c>
      <c r="H575" s="25">
        <f t="shared" si="55"/>
        <v>28.727262019337502</v>
      </c>
      <c r="J575">
        <f t="shared" si="56"/>
        <v>2.1098530851781088</v>
      </c>
    </row>
    <row r="576" spans="7:10" x14ac:dyDescent="0.25">
      <c r="G576">
        <f t="shared" si="57"/>
        <v>0.56800000000000039</v>
      </c>
      <c r="H576" s="25">
        <f t="shared" si="55"/>
        <v>28.798063042711039</v>
      </c>
      <c r="J576">
        <f t="shared" si="56"/>
        <v>2.1149053062698053</v>
      </c>
    </row>
    <row r="577" spans="7:10" x14ac:dyDescent="0.25">
      <c r="G577">
        <f t="shared" si="57"/>
        <v>0.56900000000000039</v>
      </c>
      <c r="H577" s="25">
        <f t="shared" si="55"/>
        <v>28.86883753362067</v>
      </c>
      <c r="J577">
        <f t="shared" si="56"/>
        <v>2.119954556750137</v>
      </c>
    </row>
    <row r="578" spans="7:10" x14ac:dyDescent="0.25">
      <c r="G578">
        <f t="shared" si="57"/>
        <v>0.5700000000000004</v>
      </c>
      <c r="H578" s="25">
        <f t="shared" si="55"/>
        <v>28.939584978361637</v>
      </c>
      <c r="J578">
        <f t="shared" si="56"/>
        <v>2.1250007962444637</v>
      </c>
    </row>
    <row r="579" spans="7:10" x14ac:dyDescent="0.25">
      <c r="G579">
        <f t="shared" si="57"/>
        <v>0.5710000000000004</v>
      </c>
      <c r="H579" s="25">
        <f t="shared" si="55"/>
        <v>29.010304863229191</v>
      </c>
      <c r="J579">
        <f t="shared" si="56"/>
        <v>2.1300439843781449</v>
      </c>
    </row>
    <row r="580" spans="7:10" x14ac:dyDescent="0.25">
      <c r="G580">
        <f t="shared" si="57"/>
        <v>0.5720000000000004</v>
      </c>
      <c r="H580" s="25">
        <f t="shared" si="55"/>
        <v>29.080996674518563</v>
      </c>
      <c r="J580">
        <f t="shared" si="56"/>
        <v>2.135084080776541</v>
      </c>
    </row>
    <row r="581" spans="7:10" x14ac:dyDescent="0.25">
      <c r="G581">
        <f t="shared" si="57"/>
        <v>0.5730000000000004</v>
      </c>
      <c r="H581" s="25">
        <f t="shared" si="55"/>
        <v>29.151659898524997</v>
      </c>
      <c r="J581">
        <f t="shared" si="56"/>
        <v>2.1401210450650119</v>
      </c>
    </row>
    <row r="582" spans="7:10" x14ac:dyDescent="0.25">
      <c r="G582">
        <f t="shared" si="57"/>
        <v>0.5740000000000004</v>
      </c>
      <c r="H582" s="25">
        <f t="shared" si="55"/>
        <v>29.222294021543732</v>
      </c>
      <c r="J582">
        <f t="shared" si="56"/>
        <v>2.1451548368689175</v>
      </c>
    </row>
    <row r="583" spans="7:10" x14ac:dyDescent="0.25">
      <c r="G583">
        <f t="shared" si="57"/>
        <v>0.5750000000000004</v>
      </c>
      <c r="H583" s="25">
        <f t="shared" si="55"/>
        <v>29.292898529870019</v>
      </c>
      <c r="J583">
        <f t="shared" si="56"/>
        <v>2.1501854158136182</v>
      </c>
    </row>
    <row r="584" spans="7:10" x14ac:dyDescent="0.25">
      <c r="G584">
        <f t="shared" si="57"/>
        <v>0.5760000000000004</v>
      </c>
      <c r="H584" s="25">
        <f t="shared" ref="H584:H647" si="58">$D$8*(1-G584)^3+3*$D$9*G584*(1-G584)^2+3*$D$10*(G584)^2*(1-G584)+(G584^3*$D$11)</f>
        <v>29.3634729097991</v>
      </c>
      <c r="J584">
        <f t="shared" si="56"/>
        <v>2.155212741524474</v>
      </c>
    </row>
    <row r="585" spans="7:10" x14ac:dyDescent="0.25">
      <c r="G585">
        <f t="shared" si="57"/>
        <v>0.5770000000000004</v>
      </c>
      <c r="H585" s="25">
        <f t="shared" si="58"/>
        <v>29.434016647626216</v>
      </c>
      <c r="J585">
        <f t="shared" ref="J585:J648" si="59">$E$8*(1-G585)^3+3*$E$9*G585*(1-G585)^2+3*$E$10*(G585)^2*(1-G585)+(G585^3*$E$11)</f>
        <v>2.1602367736268446</v>
      </c>
    </row>
    <row r="586" spans="7:10" x14ac:dyDescent="0.25">
      <c r="G586">
        <f t="shared" ref="G586:G649" si="60">G585+0.001</f>
        <v>0.5780000000000004</v>
      </c>
      <c r="H586" s="25">
        <f t="shared" si="58"/>
        <v>29.5045292296466</v>
      </c>
      <c r="J586">
        <f t="shared" si="59"/>
        <v>2.1652574717460902</v>
      </c>
    </row>
    <row r="587" spans="7:10" x14ac:dyDescent="0.25">
      <c r="G587">
        <f t="shared" si="60"/>
        <v>0.5790000000000004</v>
      </c>
      <c r="H587" s="25">
        <f t="shared" si="58"/>
        <v>29.575010142155499</v>
      </c>
      <c r="J587">
        <f t="shared" si="59"/>
        <v>2.1702747955075705</v>
      </c>
    </row>
    <row r="588" spans="7:10" x14ac:dyDescent="0.25">
      <c r="G588">
        <f t="shared" si="60"/>
        <v>0.5800000000000004</v>
      </c>
      <c r="H588" s="25">
        <f t="shared" si="58"/>
        <v>29.64545887144817</v>
      </c>
      <c r="J588">
        <f t="shared" si="59"/>
        <v>2.175288704536646</v>
      </c>
    </row>
    <row r="589" spans="7:10" x14ac:dyDescent="0.25">
      <c r="G589">
        <f t="shared" si="60"/>
        <v>0.58100000000000041</v>
      </c>
      <c r="H589" s="25">
        <f t="shared" si="58"/>
        <v>29.715874903819824</v>
      </c>
      <c r="J589">
        <f t="shared" si="59"/>
        <v>2.1802991584586762</v>
      </c>
    </row>
    <row r="590" spans="7:10" x14ac:dyDescent="0.25">
      <c r="G590">
        <f t="shared" si="60"/>
        <v>0.58200000000000041</v>
      </c>
      <c r="H590" s="25">
        <f t="shared" si="58"/>
        <v>29.78625772556574</v>
      </c>
      <c r="J590">
        <f t="shared" si="59"/>
        <v>2.1853061168990222</v>
      </c>
    </row>
    <row r="591" spans="7:10" x14ac:dyDescent="0.25">
      <c r="G591">
        <f t="shared" si="60"/>
        <v>0.58300000000000041</v>
      </c>
      <c r="H591" s="25">
        <f t="shared" si="58"/>
        <v>29.856606822981139</v>
      </c>
      <c r="J591">
        <f t="shared" si="59"/>
        <v>2.1903095394830432</v>
      </c>
    </row>
    <row r="592" spans="7:10" x14ac:dyDescent="0.25">
      <c r="G592">
        <f t="shared" si="60"/>
        <v>0.58400000000000041</v>
      </c>
      <c r="H592" s="25">
        <f t="shared" si="58"/>
        <v>29.926921682361257</v>
      </c>
      <c r="J592">
        <f t="shared" si="59"/>
        <v>2.195309385836099</v>
      </c>
    </row>
    <row r="593" spans="7:10" x14ac:dyDescent="0.25">
      <c r="G593">
        <f t="shared" si="60"/>
        <v>0.58500000000000041</v>
      </c>
      <c r="H593" s="25">
        <f t="shared" si="58"/>
        <v>29.997201790001355</v>
      </c>
      <c r="J593">
        <f t="shared" si="59"/>
        <v>2.2003056155835496</v>
      </c>
    </row>
    <row r="594" spans="7:10" x14ac:dyDescent="0.25">
      <c r="G594">
        <f t="shared" si="60"/>
        <v>0.58600000000000041</v>
      </c>
      <c r="H594" s="25">
        <f t="shared" si="58"/>
        <v>30.067446632196663</v>
      </c>
      <c r="J594">
        <f t="shared" si="59"/>
        <v>2.2052981883507559</v>
      </c>
    </row>
    <row r="595" spans="7:10" x14ac:dyDescent="0.25">
      <c r="G595">
        <f t="shared" si="60"/>
        <v>0.58700000000000041</v>
      </c>
      <c r="H595" s="25">
        <f t="shared" si="58"/>
        <v>30.137655695242422</v>
      </c>
      <c r="J595">
        <f t="shared" si="59"/>
        <v>2.2102870637630772</v>
      </c>
    </row>
    <row r="596" spans="7:10" x14ac:dyDescent="0.25">
      <c r="G596">
        <f t="shared" si="60"/>
        <v>0.58800000000000041</v>
      </c>
      <c r="H596" s="25">
        <f t="shared" si="58"/>
        <v>30.207828465433892</v>
      </c>
      <c r="J596">
        <f t="shared" si="59"/>
        <v>2.2152722014458739</v>
      </c>
    </row>
    <row r="597" spans="7:10" x14ac:dyDescent="0.25">
      <c r="G597">
        <f t="shared" si="60"/>
        <v>0.58900000000000041</v>
      </c>
      <c r="H597" s="25">
        <f t="shared" si="58"/>
        <v>30.277964429066291</v>
      </c>
      <c r="J597">
        <f t="shared" si="59"/>
        <v>2.2202535610245056</v>
      </c>
    </row>
    <row r="598" spans="7:10" x14ac:dyDescent="0.25">
      <c r="G598">
        <f t="shared" si="60"/>
        <v>0.59000000000000041</v>
      </c>
      <c r="H598" s="25">
        <f t="shared" si="58"/>
        <v>30.348063072434879</v>
      </c>
      <c r="J598">
        <f t="shared" si="59"/>
        <v>2.2252311021243329</v>
      </c>
    </row>
    <row r="599" spans="7:10" x14ac:dyDescent="0.25">
      <c r="G599">
        <f t="shared" si="60"/>
        <v>0.59100000000000041</v>
      </c>
      <c r="H599" s="25">
        <f t="shared" si="58"/>
        <v>30.418123881834894</v>
      </c>
      <c r="J599">
        <f t="shared" si="59"/>
        <v>2.2302047843707151</v>
      </c>
    </row>
    <row r="600" spans="7:10" x14ac:dyDescent="0.25">
      <c r="G600">
        <f t="shared" si="60"/>
        <v>0.59200000000000041</v>
      </c>
      <c r="H600" s="25">
        <f t="shared" si="58"/>
        <v>30.488146343561571</v>
      </c>
      <c r="J600">
        <f t="shared" si="59"/>
        <v>2.2351745673890129</v>
      </c>
    </row>
    <row r="601" spans="7:10" x14ac:dyDescent="0.25">
      <c r="G601">
        <f t="shared" si="60"/>
        <v>0.59300000000000042</v>
      </c>
      <c r="H601" s="25">
        <f t="shared" si="58"/>
        <v>30.558129943910153</v>
      </c>
      <c r="J601">
        <f t="shared" si="59"/>
        <v>2.2401404108045857</v>
      </c>
    </row>
    <row r="602" spans="7:10" x14ac:dyDescent="0.25">
      <c r="G602">
        <f t="shared" si="60"/>
        <v>0.59400000000000042</v>
      </c>
      <c r="H602" s="25">
        <f t="shared" si="58"/>
        <v>30.628074169175896</v>
      </c>
      <c r="J602">
        <f t="shared" si="59"/>
        <v>2.2451022742427944</v>
      </c>
    </row>
    <row r="603" spans="7:10" x14ac:dyDescent="0.25">
      <c r="G603">
        <f t="shared" si="60"/>
        <v>0.59500000000000042</v>
      </c>
      <c r="H603" s="25">
        <f t="shared" si="58"/>
        <v>30.697978505654024</v>
      </c>
      <c r="J603">
        <f t="shared" si="59"/>
        <v>2.250060117328998</v>
      </c>
    </row>
    <row r="604" spans="7:10" x14ac:dyDescent="0.25">
      <c r="G604">
        <f t="shared" si="60"/>
        <v>0.59600000000000042</v>
      </c>
      <c r="H604" s="25">
        <f t="shared" si="58"/>
        <v>30.767842439639789</v>
      </c>
      <c r="J604">
        <f t="shared" si="59"/>
        <v>2.2550138996885574</v>
      </c>
    </row>
    <row r="605" spans="7:10" x14ac:dyDescent="0.25">
      <c r="G605">
        <f t="shared" si="60"/>
        <v>0.59700000000000042</v>
      </c>
      <c r="H605" s="25">
        <f t="shared" si="58"/>
        <v>30.837665457428443</v>
      </c>
      <c r="J605">
        <f t="shared" si="59"/>
        <v>2.2599635809468319</v>
      </c>
    </row>
    <row r="606" spans="7:10" x14ac:dyDescent="0.25">
      <c r="G606">
        <f t="shared" si="60"/>
        <v>0.59800000000000042</v>
      </c>
      <c r="H606" s="25">
        <f t="shared" si="58"/>
        <v>30.907447045315209</v>
      </c>
      <c r="J606">
        <f t="shared" si="59"/>
        <v>2.2649091207291825</v>
      </c>
    </row>
    <row r="607" spans="7:10" x14ac:dyDescent="0.25">
      <c r="G607">
        <f t="shared" si="60"/>
        <v>0.59900000000000042</v>
      </c>
      <c r="H607" s="25">
        <f t="shared" si="58"/>
        <v>30.977186689595342</v>
      </c>
      <c r="J607">
        <f t="shared" si="59"/>
        <v>2.2698504786609677</v>
      </c>
    </row>
    <row r="608" spans="7:10" x14ac:dyDescent="0.25">
      <c r="G608">
        <f t="shared" si="60"/>
        <v>0.60000000000000042</v>
      </c>
      <c r="H608" s="25">
        <f t="shared" si="58"/>
        <v>31.046883876564078</v>
      </c>
      <c r="J608">
        <f t="shared" si="59"/>
        <v>2.2747876143675492</v>
      </c>
    </row>
    <row r="609" spans="7:10" x14ac:dyDescent="0.25">
      <c r="G609">
        <f t="shared" si="60"/>
        <v>0.60100000000000042</v>
      </c>
      <c r="H609" s="25">
        <f t="shared" si="58"/>
        <v>31.116538092516663</v>
      </c>
      <c r="J609">
        <f t="shared" si="59"/>
        <v>2.279720487474286</v>
      </c>
    </row>
    <row r="610" spans="7:10" x14ac:dyDescent="0.25">
      <c r="G610">
        <f t="shared" si="60"/>
        <v>0.60200000000000042</v>
      </c>
      <c r="H610" s="25">
        <f t="shared" si="58"/>
        <v>31.186148823748333</v>
      </c>
      <c r="J610">
        <f t="shared" si="59"/>
        <v>2.2846490576065381</v>
      </c>
    </row>
    <row r="611" spans="7:10" x14ac:dyDescent="0.25">
      <c r="G611">
        <f t="shared" si="60"/>
        <v>0.60300000000000042</v>
      </c>
      <c r="H611" s="25">
        <f t="shared" si="58"/>
        <v>31.255715556554346</v>
      </c>
      <c r="J611">
        <f t="shared" si="59"/>
        <v>2.2895732843896663</v>
      </c>
    </row>
    <row r="612" spans="7:10" x14ac:dyDescent="0.25">
      <c r="G612">
        <f t="shared" si="60"/>
        <v>0.60400000000000043</v>
      </c>
      <c r="H612" s="25">
        <f t="shared" si="58"/>
        <v>31.325237777229926</v>
      </c>
      <c r="J612">
        <f t="shared" si="59"/>
        <v>2.2944931274490297</v>
      </c>
    </row>
    <row r="613" spans="7:10" x14ac:dyDescent="0.25">
      <c r="G613">
        <f t="shared" si="60"/>
        <v>0.60500000000000043</v>
      </c>
      <c r="H613" s="25">
        <f t="shared" si="58"/>
        <v>31.394714972070318</v>
      </c>
      <c r="J613">
        <f t="shared" si="59"/>
        <v>2.2994085464099889</v>
      </c>
    </row>
    <row r="614" spans="7:10" x14ac:dyDescent="0.25">
      <c r="G614">
        <f t="shared" si="60"/>
        <v>0.60600000000000043</v>
      </c>
      <c r="H614" s="25">
        <f t="shared" si="58"/>
        <v>31.464146627370777</v>
      </c>
      <c r="J614">
        <f t="shared" si="59"/>
        <v>2.3043195008979036</v>
      </c>
    </row>
    <row r="615" spans="7:10" x14ac:dyDescent="0.25">
      <c r="G615">
        <f t="shared" si="60"/>
        <v>0.60700000000000043</v>
      </c>
      <c r="H615" s="25">
        <f t="shared" si="58"/>
        <v>31.533532229426534</v>
      </c>
      <c r="J615">
        <f t="shared" si="59"/>
        <v>2.3092259505381341</v>
      </c>
    </row>
    <row r="616" spans="7:10" x14ac:dyDescent="0.25">
      <c r="G616">
        <f t="shared" si="60"/>
        <v>0.60800000000000043</v>
      </c>
      <c r="H616" s="25">
        <f t="shared" si="58"/>
        <v>31.602871264532844</v>
      </c>
      <c r="J616">
        <f t="shared" si="59"/>
        <v>2.3141278549560411</v>
      </c>
    </row>
    <row r="617" spans="7:10" x14ac:dyDescent="0.25">
      <c r="G617">
        <f t="shared" si="60"/>
        <v>0.60900000000000043</v>
      </c>
      <c r="H617" s="25">
        <f t="shared" si="58"/>
        <v>31.67216321898492</v>
      </c>
      <c r="J617">
        <f t="shared" si="59"/>
        <v>2.3190251737769825</v>
      </c>
    </row>
    <row r="618" spans="7:10" x14ac:dyDescent="0.25">
      <c r="G618">
        <f t="shared" si="60"/>
        <v>0.61000000000000043</v>
      </c>
      <c r="H618" s="25">
        <f t="shared" si="58"/>
        <v>31.741407579078043</v>
      </c>
      <c r="J618">
        <f t="shared" si="59"/>
        <v>2.3239178666263207</v>
      </c>
    </row>
    <row r="619" spans="7:10" x14ac:dyDescent="0.25">
      <c r="G619">
        <f t="shared" si="60"/>
        <v>0.61100000000000043</v>
      </c>
      <c r="H619" s="25">
        <f t="shared" si="58"/>
        <v>31.810603831107429</v>
      </c>
      <c r="J619">
        <f t="shared" si="59"/>
        <v>2.328805893129414</v>
      </c>
    </row>
    <row r="620" spans="7:10" x14ac:dyDescent="0.25">
      <c r="G620">
        <f t="shared" si="60"/>
        <v>0.61200000000000043</v>
      </c>
      <c r="H620" s="25">
        <f t="shared" si="58"/>
        <v>31.879751461368322</v>
      </c>
      <c r="J620">
        <f t="shared" si="59"/>
        <v>2.3336892129116236</v>
      </c>
    </row>
    <row r="621" spans="7:10" x14ac:dyDescent="0.25">
      <c r="G621">
        <f t="shared" si="60"/>
        <v>0.61300000000000043</v>
      </c>
      <c r="H621" s="25">
        <f t="shared" si="58"/>
        <v>31.948849956155982</v>
      </c>
      <c r="J621">
        <f t="shared" si="59"/>
        <v>2.3385677855983085</v>
      </c>
    </row>
    <row r="622" spans="7:10" x14ac:dyDescent="0.25">
      <c r="G622">
        <f t="shared" si="60"/>
        <v>0.61400000000000043</v>
      </c>
      <c r="H622" s="25">
        <f t="shared" si="58"/>
        <v>32.017898801765632</v>
      </c>
      <c r="J622">
        <f t="shared" si="59"/>
        <v>2.3434415708148304</v>
      </c>
    </row>
    <row r="623" spans="7:10" x14ac:dyDescent="0.25">
      <c r="G623">
        <f t="shared" si="60"/>
        <v>0.61500000000000044</v>
      </c>
      <c r="H623" s="25">
        <f t="shared" si="58"/>
        <v>32.086897484492525</v>
      </c>
      <c r="J623">
        <f t="shared" si="59"/>
        <v>2.3483105281865471</v>
      </c>
    </row>
    <row r="624" spans="7:10" x14ac:dyDescent="0.25">
      <c r="G624">
        <f t="shared" si="60"/>
        <v>0.61600000000000044</v>
      </c>
      <c r="H624" s="25">
        <f t="shared" si="58"/>
        <v>32.15584549063189</v>
      </c>
      <c r="J624">
        <f t="shared" si="59"/>
        <v>2.3531746173388202</v>
      </c>
    </row>
    <row r="625" spans="7:10" x14ac:dyDescent="0.25">
      <c r="G625">
        <f t="shared" si="60"/>
        <v>0.61700000000000044</v>
      </c>
      <c r="H625" s="25">
        <f t="shared" si="58"/>
        <v>32.224742306478994</v>
      </c>
      <c r="J625">
        <f t="shared" si="59"/>
        <v>2.3580337978970092</v>
      </c>
    </row>
    <row r="626" spans="7:10" x14ac:dyDescent="0.25">
      <c r="G626">
        <f t="shared" si="60"/>
        <v>0.61800000000000044</v>
      </c>
      <c r="H626" s="25">
        <f t="shared" si="58"/>
        <v>32.293587418329054</v>
      </c>
      <c r="J626">
        <f t="shared" si="59"/>
        <v>2.362888029486474</v>
      </c>
    </row>
    <row r="627" spans="7:10" x14ac:dyDescent="0.25">
      <c r="G627">
        <f t="shared" si="60"/>
        <v>0.61900000000000044</v>
      </c>
      <c r="H627" s="25">
        <f t="shared" si="58"/>
        <v>32.362380312477327</v>
      </c>
      <c r="J627">
        <f t="shared" si="59"/>
        <v>2.3677372717325746</v>
      </c>
    </row>
    <row r="628" spans="7:10" x14ac:dyDescent="0.25">
      <c r="G628">
        <f t="shared" si="60"/>
        <v>0.62000000000000044</v>
      </c>
      <c r="H628" s="25">
        <f t="shared" si="58"/>
        <v>32.431120475219046</v>
      </c>
      <c r="J628">
        <f t="shared" si="59"/>
        <v>2.3725814842606714</v>
      </c>
    </row>
    <row r="629" spans="7:10" x14ac:dyDescent="0.25">
      <c r="G629">
        <f t="shared" si="60"/>
        <v>0.62100000000000044</v>
      </c>
      <c r="H629" s="25">
        <f t="shared" si="58"/>
        <v>32.499807392849476</v>
      </c>
      <c r="J629">
        <f t="shared" si="59"/>
        <v>2.3774206266961246</v>
      </c>
    </row>
    <row r="630" spans="7:10" x14ac:dyDescent="0.25">
      <c r="G630">
        <f t="shared" si="60"/>
        <v>0.62200000000000044</v>
      </c>
      <c r="H630" s="25">
        <f t="shared" si="58"/>
        <v>32.568440551663826</v>
      </c>
      <c r="J630">
        <f t="shared" si="59"/>
        <v>2.3822546586642934</v>
      </c>
    </row>
    <row r="631" spans="7:10" x14ac:dyDescent="0.25">
      <c r="G631">
        <f t="shared" si="60"/>
        <v>0.62300000000000044</v>
      </c>
      <c r="H631" s="25">
        <f t="shared" si="58"/>
        <v>32.637019437957349</v>
      </c>
      <c r="J631">
        <f t="shared" si="59"/>
        <v>2.387083539790539</v>
      </c>
    </row>
    <row r="632" spans="7:10" x14ac:dyDescent="0.25">
      <c r="G632">
        <f t="shared" si="60"/>
        <v>0.62400000000000044</v>
      </c>
      <c r="H632" s="25">
        <f t="shared" si="58"/>
        <v>32.705543538025303</v>
      </c>
      <c r="J632">
        <f t="shared" si="59"/>
        <v>2.3919072297002204</v>
      </c>
    </row>
    <row r="633" spans="7:10" x14ac:dyDescent="0.25">
      <c r="G633">
        <f t="shared" si="60"/>
        <v>0.62500000000000044</v>
      </c>
      <c r="H633" s="25">
        <f t="shared" si="58"/>
        <v>32.774012338162919</v>
      </c>
      <c r="J633">
        <f t="shared" si="59"/>
        <v>2.3967256880186976</v>
      </c>
    </row>
    <row r="634" spans="7:10" x14ac:dyDescent="0.25">
      <c r="G634">
        <f t="shared" si="60"/>
        <v>0.62600000000000044</v>
      </c>
      <c r="H634" s="25">
        <f t="shared" si="58"/>
        <v>32.842425324665435</v>
      </c>
      <c r="J634">
        <f t="shared" si="59"/>
        <v>2.4015388743713313</v>
      </c>
    </row>
    <row r="635" spans="7:10" x14ac:dyDescent="0.25">
      <c r="G635">
        <f t="shared" si="60"/>
        <v>0.62700000000000045</v>
      </c>
      <c r="H635" s="25">
        <f t="shared" si="58"/>
        <v>32.910781983828102</v>
      </c>
      <c r="J635">
        <f t="shared" si="59"/>
        <v>2.4063467483834815</v>
      </c>
    </row>
    <row r="636" spans="7:10" x14ac:dyDescent="0.25">
      <c r="G636">
        <f t="shared" si="60"/>
        <v>0.62800000000000045</v>
      </c>
      <c r="H636" s="25">
        <f t="shared" si="58"/>
        <v>32.979081801946151</v>
      </c>
      <c r="J636">
        <f t="shared" si="59"/>
        <v>2.4111492696805072</v>
      </c>
    </row>
    <row r="637" spans="7:10" x14ac:dyDescent="0.25">
      <c r="G637">
        <f t="shared" si="60"/>
        <v>0.62900000000000045</v>
      </c>
      <c r="H637" s="25">
        <f t="shared" si="58"/>
        <v>33.047324265314842</v>
      </c>
      <c r="J637">
        <f t="shared" si="59"/>
        <v>2.4159463978877698</v>
      </c>
    </row>
    <row r="638" spans="7:10" x14ac:dyDescent="0.25">
      <c r="G638">
        <f t="shared" si="60"/>
        <v>0.63000000000000045</v>
      </c>
      <c r="H638" s="25">
        <f t="shared" si="58"/>
        <v>33.115508860229404</v>
      </c>
      <c r="J638">
        <f t="shared" si="59"/>
        <v>2.4207380926306286</v>
      </c>
    </row>
    <row r="639" spans="7:10" x14ac:dyDescent="0.25">
      <c r="G639">
        <f t="shared" si="60"/>
        <v>0.63100000000000045</v>
      </c>
      <c r="H639" s="25">
        <f t="shared" si="58"/>
        <v>33.183635072985076</v>
      </c>
      <c r="J639">
        <f t="shared" si="59"/>
        <v>2.4255243135344431</v>
      </c>
    </row>
    <row r="640" spans="7:10" x14ac:dyDescent="0.25">
      <c r="G640">
        <f t="shared" si="60"/>
        <v>0.63200000000000045</v>
      </c>
      <c r="H640" s="25">
        <f t="shared" si="58"/>
        <v>33.25170238987711</v>
      </c>
      <c r="J640">
        <f t="shared" si="59"/>
        <v>2.4303050202245737</v>
      </c>
    </row>
    <row r="641" spans="7:10" x14ac:dyDescent="0.25">
      <c r="G641">
        <f t="shared" si="60"/>
        <v>0.63300000000000045</v>
      </c>
      <c r="H641" s="25">
        <f t="shared" si="58"/>
        <v>33.31971029720075</v>
      </c>
      <c r="J641">
        <f t="shared" si="59"/>
        <v>2.4350801723263817</v>
      </c>
    </row>
    <row r="642" spans="7:10" x14ac:dyDescent="0.25">
      <c r="G642">
        <f t="shared" si="60"/>
        <v>0.63400000000000045</v>
      </c>
      <c r="H642" s="25">
        <f t="shared" si="58"/>
        <v>33.387658281251227</v>
      </c>
      <c r="J642">
        <f t="shared" si="59"/>
        <v>2.4398497294652257</v>
      </c>
    </row>
    <row r="643" spans="7:10" x14ac:dyDescent="0.25">
      <c r="G643">
        <f t="shared" si="60"/>
        <v>0.63500000000000045</v>
      </c>
      <c r="H643" s="25">
        <f t="shared" si="58"/>
        <v>33.455545828323785</v>
      </c>
      <c r="J643">
        <f t="shared" si="59"/>
        <v>2.444613651266466</v>
      </c>
    </row>
    <row r="644" spans="7:10" x14ac:dyDescent="0.25">
      <c r="G644">
        <f t="shared" si="60"/>
        <v>0.63600000000000045</v>
      </c>
      <c r="H644" s="25">
        <f t="shared" si="58"/>
        <v>33.523372424713685</v>
      </c>
      <c r="J644">
        <f t="shared" si="59"/>
        <v>2.449371897355463</v>
      </c>
    </row>
    <row r="645" spans="7:10" x14ac:dyDescent="0.25">
      <c r="G645">
        <f t="shared" si="60"/>
        <v>0.63700000000000045</v>
      </c>
      <c r="H645" s="25">
        <f t="shared" si="58"/>
        <v>33.591137556716141</v>
      </c>
      <c r="J645">
        <f t="shared" si="59"/>
        <v>2.4541244273575762</v>
      </c>
    </row>
    <row r="646" spans="7:10" x14ac:dyDescent="0.25">
      <c r="G646">
        <f t="shared" si="60"/>
        <v>0.63800000000000046</v>
      </c>
      <c r="H646" s="25">
        <f t="shared" si="58"/>
        <v>33.658840710626414</v>
      </c>
      <c r="J646">
        <f t="shared" si="59"/>
        <v>2.4588712008981659</v>
      </c>
    </row>
    <row r="647" spans="7:10" x14ac:dyDescent="0.25">
      <c r="G647">
        <f t="shared" si="60"/>
        <v>0.63900000000000046</v>
      </c>
      <c r="H647" s="25">
        <f t="shared" si="58"/>
        <v>33.726481372739741</v>
      </c>
      <c r="J647">
        <f t="shared" si="59"/>
        <v>2.4636121776025921</v>
      </c>
    </row>
    <row r="648" spans="7:10" x14ac:dyDescent="0.25">
      <c r="G648">
        <f t="shared" si="60"/>
        <v>0.64000000000000046</v>
      </c>
      <c r="H648" s="25">
        <f t="shared" ref="H648:H711" si="61">$D$8*(1-G648)^3+3*$D$9*G648*(1-G648)^2+3*$D$10*(G648)^2*(1-G648)+(G648^3*$D$11)</f>
        <v>33.794059029351367</v>
      </c>
      <c r="J648">
        <f t="shared" si="59"/>
        <v>2.4683473170962147</v>
      </c>
    </row>
    <row r="649" spans="7:10" x14ac:dyDescent="0.25">
      <c r="G649">
        <f t="shared" si="60"/>
        <v>0.64100000000000046</v>
      </c>
      <c r="H649" s="25">
        <f t="shared" si="61"/>
        <v>33.861573166756536</v>
      </c>
      <c r="J649">
        <f t="shared" ref="J649:J712" si="62">$E$8*(1-G649)^3+3*$E$9*G649*(1-G649)^2+3*$E$10*(G649)^2*(1-G649)+(G649^3*$E$11)</f>
        <v>2.4730765790043945</v>
      </c>
    </row>
    <row r="650" spans="7:10" x14ac:dyDescent="0.25">
      <c r="G650">
        <f t="shared" ref="G650:G713" si="63">G649+0.001</f>
        <v>0.64200000000000046</v>
      </c>
      <c r="H650" s="25">
        <f t="shared" si="61"/>
        <v>33.929023271250479</v>
      </c>
      <c r="J650">
        <f t="shared" si="62"/>
        <v>2.4777999229524896</v>
      </c>
    </row>
    <row r="651" spans="7:10" x14ac:dyDescent="0.25">
      <c r="G651">
        <f t="shared" si="63"/>
        <v>0.64300000000000046</v>
      </c>
      <c r="H651" s="25">
        <f t="shared" si="61"/>
        <v>33.996408829128448</v>
      </c>
      <c r="J651">
        <f t="shared" si="62"/>
        <v>2.4825173085658623</v>
      </c>
    </row>
    <row r="652" spans="7:10" x14ac:dyDescent="0.25">
      <c r="G652">
        <f t="shared" si="63"/>
        <v>0.64400000000000046</v>
      </c>
      <c r="H652" s="25">
        <f t="shared" si="61"/>
        <v>34.063729326685682</v>
      </c>
      <c r="J652">
        <f t="shared" si="62"/>
        <v>2.4872286954698719</v>
      </c>
    </row>
    <row r="653" spans="7:10" x14ac:dyDescent="0.25">
      <c r="G653">
        <f t="shared" si="63"/>
        <v>0.64500000000000046</v>
      </c>
      <c r="H653" s="25">
        <f t="shared" si="61"/>
        <v>34.130984250217423</v>
      </c>
      <c r="J653">
        <f t="shared" si="62"/>
        <v>2.4919340432898776</v>
      </c>
    </row>
    <row r="654" spans="7:10" x14ac:dyDescent="0.25">
      <c r="G654">
        <f t="shared" si="63"/>
        <v>0.64600000000000046</v>
      </c>
      <c r="H654" s="25">
        <f t="shared" si="61"/>
        <v>34.198173086018919</v>
      </c>
      <c r="J654">
        <f t="shared" si="62"/>
        <v>2.49663331165124</v>
      </c>
    </row>
    <row r="655" spans="7:10" x14ac:dyDescent="0.25">
      <c r="G655">
        <f t="shared" si="63"/>
        <v>0.64700000000000046</v>
      </c>
      <c r="H655" s="25">
        <f t="shared" si="61"/>
        <v>34.265295320385405</v>
      </c>
      <c r="J655">
        <f t="shared" si="62"/>
        <v>2.5013264601793193</v>
      </c>
    </row>
    <row r="656" spans="7:10" x14ac:dyDescent="0.25">
      <c r="G656">
        <f t="shared" si="63"/>
        <v>0.64800000000000046</v>
      </c>
      <c r="H656" s="25">
        <f t="shared" si="61"/>
        <v>34.332350439612128</v>
      </c>
      <c r="J656">
        <f t="shared" si="62"/>
        <v>2.5060134484994752</v>
      </c>
    </row>
    <row r="657" spans="7:10" x14ac:dyDescent="0.25">
      <c r="G657">
        <f t="shared" si="63"/>
        <v>0.64900000000000047</v>
      </c>
      <c r="H657" s="25">
        <f t="shared" si="61"/>
        <v>34.399337929994324</v>
      </c>
      <c r="J657">
        <f t="shared" si="62"/>
        <v>2.5106942362370681</v>
      </c>
    </row>
    <row r="658" spans="7:10" x14ac:dyDescent="0.25">
      <c r="G658">
        <f t="shared" si="63"/>
        <v>0.65000000000000047</v>
      </c>
      <c r="H658" s="25">
        <f t="shared" si="61"/>
        <v>34.466257277827239</v>
      </c>
      <c r="J658">
        <f t="shared" si="62"/>
        <v>2.5153687830174571</v>
      </c>
    </row>
    <row r="659" spans="7:10" x14ac:dyDescent="0.25">
      <c r="G659">
        <f t="shared" si="63"/>
        <v>0.65100000000000047</v>
      </c>
      <c r="H659" s="25">
        <f t="shared" si="61"/>
        <v>34.533107969406124</v>
      </c>
      <c r="J659">
        <f t="shared" si="62"/>
        <v>2.5200370484660035</v>
      </c>
    </row>
    <row r="660" spans="7:10" x14ac:dyDescent="0.25">
      <c r="G660">
        <f t="shared" si="63"/>
        <v>0.65200000000000047</v>
      </c>
      <c r="H660" s="25">
        <f t="shared" si="61"/>
        <v>34.599889491026204</v>
      </c>
      <c r="J660">
        <f t="shared" si="62"/>
        <v>2.5246989922080663</v>
      </c>
    </row>
    <row r="661" spans="7:10" x14ac:dyDescent="0.25">
      <c r="G661">
        <f t="shared" si="63"/>
        <v>0.65300000000000047</v>
      </c>
      <c r="H661" s="25">
        <f t="shared" si="61"/>
        <v>34.666601328982736</v>
      </c>
      <c r="J661">
        <f t="shared" si="62"/>
        <v>2.5293545738690066</v>
      </c>
    </row>
    <row r="662" spans="7:10" x14ac:dyDescent="0.25">
      <c r="G662">
        <f t="shared" si="63"/>
        <v>0.65400000000000047</v>
      </c>
      <c r="H662" s="25">
        <f t="shared" si="61"/>
        <v>34.733242969570952</v>
      </c>
      <c r="J662">
        <f t="shared" si="62"/>
        <v>2.5340037530741837</v>
      </c>
    </row>
    <row r="663" spans="7:10" x14ac:dyDescent="0.25">
      <c r="G663">
        <f t="shared" si="63"/>
        <v>0.65500000000000047</v>
      </c>
      <c r="H663" s="25">
        <f t="shared" si="61"/>
        <v>34.799813899086111</v>
      </c>
      <c r="J663">
        <f t="shared" si="62"/>
        <v>2.5386464894489573</v>
      </c>
    </row>
    <row r="664" spans="7:10" x14ac:dyDescent="0.25">
      <c r="G664">
        <f t="shared" si="63"/>
        <v>0.65600000000000047</v>
      </c>
      <c r="H664" s="25">
        <f t="shared" si="61"/>
        <v>34.866313603823436</v>
      </c>
      <c r="J664">
        <f t="shared" si="62"/>
        <v>2.5432827426186879</v>
      </c>
    </row>
    <row r="665" spans="7:10" x14ac:dyDescent="0.25">
      <c r="G665">
        <f t="shared" si="63"/>
        <v>0.65700000000000047</v>
      </c>
      <c r="H665" s="25">
        <f t="shared" si="61"/>
        <v>34.932741570078171</v>
      </c>
      <c r="J665">
        <f t="shared" si="62"/>
        <v>2.5479124722087354</v>
      </c>
    </row>
    <row r="666" spans="7:10" x14ac:dyDescent="0.25">
      <c r="G666">
        <f t="shared" si="63"/>
        <v>0.65800000000000047</v>
      </c>
      <c r="H666" s="25">
        <f t="shared" si="61"/>
        <v>34.99909728414557</v>
      </c>
      <c r="J666">
        <f t="shared" si="62"/>
        <v>2.5525356378444601</v>
      </c>
    </row>
    <row r="667" spans="7:10" x14ac:dyDescent="0.25">
      <c r="G667">
        <f t="shared" si="63"/>
        <v>0.65900000000000047</v>
      </c>
      <c r="H667" s="25">
        <f t="shared" si="61"/>
        <v>35.065380232320877</v>
      </c>
      <c r="J667">
        <f t="shared" si="62"/>
        <v>2.557152199151222</v>
      </c>
    </row>
    <row r="668" spans="7:10" x14ac:dyDescent="0.25">
      <c r="G668">
        <f t="shared" si="63"/>
        <v>0.66000000000000048</v>
      </c>
      <c r="H668" s="25">
        <f t="shared" si="61"/>
        <v>35.131589900899314</v>
      </c>
      <c r="J668">
        <f t="shared" si="62"/>
        <v>2.5617621157543802</v>
      </c>
    </row>
    <row r="669" spans="7:10" x14ac:dyDescent="0.25">
      <c r="G669">
        <f t="shared" si="63"/>
        <v>0.66100000000000048</v>
      </c>
      <c r="H669" s="25">
        <f t="shared" si="61"/>
        <v>35.197725776176128</v>
      </c>
      <c r="J669">
        <f t="shared" si="62"/>
        <v>2.5663653472792962</v>
      </c>
    </row>
    <row r="670" spans="7:10" x14ac:dyDescent="0.25">
      <c r="G670">
        <f t="shared" si="63"/>
        <v>0.66200000000000048</v>
      </c>
      <c r="H670" s="25">
        <f t="shared" si="61"/>
        <v>35.263787344446591</v>
      </c>
      <c r="J670">
        <f t="shared" si="62"/>
        <v>2.5709618533513288</v>
      </c>
    </row>
    <row r="671" spans="7:10" x14ac:dyDescent="0.25">
      <c r="G671">
        <f t="shared" si="63"/>
        <v>0.66300000000000048</v>
      </c>
      <c r="H671" s="25">
        <f t="shared" si="61"/>
        <v>35.329774092005913</v>
      </c>
      <c r="J671">
        <f t="shared" si="62"/>
        <v>2.5755515935958391</v>
      </c>
    </row>
    <row r="672" spans="7:10" x14ac:dyDescent="0.25">
      <c r="G672">
        <f t="shared" si="63"/>
        <v>0.66400000000000048</v>
      </c>
      <c r="H672" s="25">
        <f t="shared" si="61"/>
        <v>35.395685505149345</v>
      </c>
      <c r="J672">
        <f t="shared" si="62"/>
        <v>2.5801345276381857</v>
      </c>
    </row>
    <row r="673" spans="7:10" x14ac:dyDescent="0.25">
      <c r="G673">
        <f t="shared" si="63"/>
        <v>0.66500000000000048</v>
      </c>
      <c r="H673" s="25">
        <f t="shared" si="61"/>
        <v>35.461521070172125</v>
      </c>
      <c r="J673">
        <f t="shared" si="62"/>
        <v>2.58471061510373</v>
      </c>
    </row>
    <row r="674" spans="7:10" x14ac:dyDescent="0.25">
      <c r="G674">
        <f t="shared" si="63"/>
        <v>0.66600000000000048</v>
      </c>
      <c r="H674" s="25">
        <f t="shared" si="61"/>
        <v>35.527280273369506</v>
      </c>
      <c r="J674">
        <f t="shared" si="62"/>
        <v>2.5892798156178314</v>
      </c>
    </row>
    <row r="675" spans="7:10" x14ac:dyDescent="0.25">
      <c r="G675">
        <f t="shared" si="63"/>
        <v>0.66700000000000048</v>
      </c>
      <c r="H675" s="25">
        <f t="shared" si="61"/>
        <v>35.592962601036731</v>
      </c>
      <c r="J675">
        <f t="shared" si="62"/>
        <v>2.5938420888058498</v>
      </c>
    </row>
    <row r="676" spans="7:10" x14ac:dyDescent="0.25">
      <c r="G676">
        <f t="shared" si="63"/>
        <v>0.66800000000000048</v>
      </c>
      <c r="H676" s="25">
        <f t="shared" si="61"/>
        <v>35.658567539469033</v>
      </c>
      <c r="J676">
        <f t="shared" si="62"/>
        <v>2.5983973942931455</v>
      </c>
    </row>
    <row r="677" spans="7:10" x14ac:dyDescent="0.25">
      <c r="G677">
        <f t="shared" si="63"/>
        <v>0.66900000000000048</v>
      </c>
      <c r="H677" s="25">
        <f t="shared" si="61"/>
        <v>35.724094574961661</v>
      </c>
      <c r="J677">
        <f t="shared" si="62"/>
        <v>2.6029456917050791</v>
      </c>
    </row>
    <row r="678" spans="7:10" x14ac:dyDescent="0.25">
      <c r="G678">
        <f t="shared" si="63"/>
        <v>0.67000000000000048</v>
      </c>
      <c r="H678" s="25">
        <f t="shared" si="61"/>
        <v>35.789543193809848</v>
      </c>
      <c r="J678">
        <f t="shared" si="62"/>
        <v>2.6074869406670089</v>
      </c>
    </row>
    <row r="679" spans="7:10" x14ac:dyDescent="0.25">
      <c r="G679">
        <f t="shared" si="63"/>
        <v>0.67100000000000048</v>
      </c>
      <c r="H679" s="25">
        <f t="shared" si="61"/>
        <v>35.854912882308852</v>
      </c>
      <c r="J679">
        <f t="shared" si="62"/>
        <v>2.6120211008042973</v>
      </c>
    </row>
    <row r="680" spans="7:10" x14ac:dyDescent="0.25">
      <c r="G680">
        <f t="shared" si="63"/>
        <v>0.67200000000000049</v>
      </c>
      <c r="H680" s="25">
        <f t="shared" si="61"/>
        <v>35.920203126753897</v>
      </c>
      <c r="J680">
        <f t="shared" si="62"/>
        <v>2.6165481317423018</v>
      </c>
    </row>
    <row r="681" spans="7:10" x14ac:dyDescent="0.25">
      <c r="G681">
        <f t="shared" si="63"/>
        <v>0.67300000000000049</v>
      </c>
      <c r="H681" s="25">
        <f t="shared" si="61"/>
        <v>35.985413413440241</v>
      </c>
      <c r="J681">
        <f t="shared" si="62"/>
        <v>2.6210679931063847</v>
      </c>
    </row>
    <row r="682" spans="7:10" x14ac:dyDescent="0.25">
      <c r="G682">
        <f t="shared" si="63"/>
        <v>0.67400000000000049</v>
      </c>
      <c r="H682" s="25">
        <f t="shared" si="61"/>
        <v>36.050543228663116</v>
      </c>
      <c r="J682">
        <f t="shared" si="62"/>
        <v>2.6255806445219041</v>
      </c>
    </row>
    <row r="683" spans="7:10" x14ac:dyDescent="0.25">
      <c r="G683">
        <f t="shared" si="63"/>
        <v>0.67500000000000049</v>
      </c>
      <c r="H683" s="25">
        <f t="shared" si="61"/>
        <v>36.115592058717766</v>
      </c>
      <c r="J683">
        <f t="shared" si="62"/>
        <v>2.6300860456142212</v>
      </c>
    </row>
    <row r="684" spans="7:10" x14ac:dyDescent="0.25">
      <c r="G684">
        <f t="shared" si="63"/>
        <v>0.67600000000000049</v>
      </c>
      <c r="H684" s="25">
        <f t="shared" si="61"/>
        <v>36.180559389899443</v>
      </c>
      <c r="J684">
        <f t="shared" si="62"/>
        <v>2.634584156008696</v>
      </c>
    </row>
    <row r="685" spans="7:10" x14ac:dyDescent="0.25">
      <c r="G685">
        <f t="shared" si="63"/>
        <v>0.67700000000000049</v>
      </c>
      <c r="H685" s="25">
        <f t="shared" si="61"/>
        <v>36.245444708503371</v>
      </c>
      <c r="J685">
        <f t="shared" si="62"/>
        <v>2.6390749353306884</v>
      </c>
    </row>
    <row r="686" spans="7:10" x14ac:dyDescent="0.25">
      <c r="G686">
        <f t="shared" si="63"/>
        <v>0.67800000000000049</v>
      </c>
      <c r="H686" s="25">
        <f t="shared" si="61"/>
        <v>36.310247500824801</v>
      </c>
      <c r="J686">
        <f t="shared" si="62"/>
        <v>2.6435583432055578</v>
      </c>
    </row>
    <row r="687" spans="7:10" x14ac:dyDescent="0.25">
      <c r="G687">
        <f t="shared" si="63"/>
        <v>0.67900000000000049</v>
      </c>
      <c r="H687" s="25">
        <f t="shared" si="61"/>
        <v>36.374967253158985</v>
      </c>
      <c r="J687">
        <f t="shared" si="62"/>
        <v>2.6480343392586647</v>
      </c>
    </row>
    <row r="688" spans="7:10" x14ac:dyDescent="0.25">
      <c r="G688">
        <f t="shared" si="63"/>
        <v>0.68000000000000049</v>
      </c>
      <c r="H688" s="25">
        <f t="shared" si="61"/>
        <v>36.439603451801155</v>
      </c>
      <c r="J688">
        <f t="shared" si="62"/>
        <v>2.6525028831153694</v>
      </c>
    </row>
    <row r="689" spans="7:10" x14ac:dyDescent="0.25">
      <c r="G689">
        <f t="shared" si="63"/>
        <v>0.68100000000000049</v>
      </c>
      <c r="H689" s="25">
        <f t="shared" si="61"/>
        <v>36.504155583046554</v>
      </c>
      <c r="J689">
        <f t="shared" si="62"/>
        <v>2.6569639344010314</v>
      </c>
    </row>
    <row r="690" spans="7:10" x14ac:dyDescent="0.25">
      <c r="G690">
        <f t="shared" si="63"/>
        <v>0.68200000000000049</v>
      </c>
      <c r="H690" s="25">
        <f t="shared" si="61"/>
        <v>36.568623133190428</v>
      </c>
      <c r="J690">
        <f t="shared" si="62"/>
        <v>2.661417452741011</v>
      </c>
    </row>
    <row r="691" spans="7:10" x14ac:dyDescent="0.25">
      <c r="G691">
        <f t="shared" si="63"/>
        <v>0.6830000000000005</v>
      </c>
      <c r="H691" s="25">
        <f t="shared" si="61"/>
        <v>36.633005588528015</v>
      </c>
      <c r="J691">
        <f t="shared" si="62"/>
        <v>2.6658633977606687</v>
      </c>
    </row>
    <row r="692" spans="7:10" x14ac:dyDescent="0.25">
      <c r="G692">
        <f t="shared" si="63"/>
        <v>0.6840000000000005</v>
      </c>
      <c r="H692" s="25">
        <f t="shared" si="61"/>
        <v>36.697302435354558</v>
      </c>
      <c r="J692">
        <f t="shared" si="62"/>
        <v>2.6703017290853639</v>
      </c>
    </row>
    <row r="693" spans="7:10" x14ac:dyDescent="0.25">
      <c r="G693">
        <f t="shared" si="63"/>
        <v>0.6850000000000005</v>
      </c>
      <c r="H693" s="25">
        <f t="shared" si="61"/>
        <v>36.761513159965304</v>
      </c>
      <c r="J693">
        <f t="shared" si="62"/>
        <v>2.6747324063404565</v>
      </c>
    </row>
    <row r="694" spans="7:10" x14ac:dyDescent="0.25">
      <c r="G694">
        <f t="shared" si="63"/>
        <v>0.6860000000000005</v>
      </c>
      <c r="H694" s="25">
        <f t="shared" si="61"/>
        <v>36.825637248655497</v>
      </c>
      <c r="J694">
        <f t="shared" si="62"/>
        <v>2.6791553891513074</v>
      </c>
    </row>
    <row r="695" spans="7:10" x14ac:dyDescent="0.25">
      <c r="G695">
        <f t="shared" si="63"/>
        <v>0.6870000000000005</v>
      </c>
      <c r="H695" s="25">
        <f t="shared" si="61"/>
        <v>36.88967418772036</v>
      </c>
      <c r="J695">
        <f t="shared" si="62"/>
        <v>2.6835706371432755</v>
      </c>
    </row>
    <row r="696" spans="7:10" x14ac:dyDescent="0.25">
      <c r="G696">
        <f t="shared" si="63"/>
        <v>0.6880000000000005</v>
      </c>
      <c r="H696" s="25">
        <f t="shared" si="61"/>
        <v>36.953623463455159</v>
      </c>
      <c r="J696">
        <f t="shared" si="62"/>
        <v>2.6879781099417208</v>
      </c>
    </row>
    <row r="697" spans="7:10" x14ac:dyDescent="0.25">
      <c r="G697">
        <f t="shared" si="63"/>
        <v>0.6890000000000005</v>
      </c>
      <c r="H697" s="25">
        <f t="shared" si="61"/>
        <v>37.017484562155126</v>
      </c>
      <c r="J697">
        <f t="shared" si="62"/>
        <v>2.6923777671720046</v>
      </c>
    </row>
    <row r="698" spans="7:10" x14ac:dyDescent="0.25">
      <c r="G698">
        <f t="shared" si="63"/>
        <v>0.6900000000000005</v>
      </c>
      <c r="H698" s="25">
        <f t="shared" si="61"/>
        <v>37.081256970115504</v>
      </c>
      <c r="J698">
        <f t="shared" si="62"/>
        <v>2.6967695684594863</v>
      </c>
    </row>
    <row r="699" spans="7:10" x14ac:dyDescent="0.25">
      <c r="G699">
        <f t="shared" si="63"/>
        <v>0.6910000000000005</v>
      </c>
      <c r="H699" s="25">
        <f t="shared" si="61"/>
        <v>37.144940173631539</v>
      </c>
      <c r="J699">
        <f t="shared" si="62"/>
        <v>2.7011534734295255</v>
      </c>
    </row>
    <row r="700" spans="7:10" x14ac:dyDescent="0.25">
      <c r="G700">
        <f t="shared" si="63"/>
        <v>0.6920000000000005</v>
      </c>
      <c r="H700" s="25">
        <f t="shared" si="61"/>
        <v>37.208533658998462</v>
      </c>
      <c r="J700">
        <f t="shared" si="62"/>
        <v>2.7055294417074824</v>
      </c>
    </row>
    <row r="701" spans="7:10" x14ac:dyDescent="0.25">
      <c r="G701">
        <f t="shared" si="63"/>
        <v>0.6930000000000005</v>
      </c>
      <c r="H701" s="25">
        <f t="shared" si="61"/>
        <v>37.272036912511531</v>
      </c>
      <c r="J701">
        <f t="shared" si="62"/>
        <v>2.7098974329187175</v>
      </c>
    </row>
    <row r="702" spans="7:10" x14ac:dyDescent="0.25">
      <c r="G702">
        <f t="shared" si="63"/>
        <v>0.69400000000000051</v>
      </c>
      <c r="H702" s="25">
        <f t="shared" si="61"/>
        <v>37.33544942046597</v>
      </c>
      <c r="J702">
        <f t="shared" si="62"/>
        <v>2.7142574066885894</v>
      </c>
    </row>
    <row r="703" spans="7:10" x14ac:dyDescent="0.25">
      <c r="G703">
        <f t="shared" si="63"/>
        <v>0.69500000000000051</v>
      </c>
      <c r="H703" s="25">
        <f t="shared" si="61"/>
        <v>37.398770669157038</v>
      </c>
      <c r="J703">
        <f t="shared" si="62"/>
        <v>2.718609322642461</v>
      </c>
    </row>
    <row r="704" spans="7:10" x14ac:dyDescent="0.25">
      <c r="G704">
        <f t="shared" si="63"/>
        <v>0.69600000000000051</v>
      </c>
      <c r="H704" s="25">
        <f t="shared" si="61"/>
        <v>37.462000144879966</v>
      </c>
      <c r="J704">
        <f t="shared" si="62"/>
        <v>2.7229531404056893</v>
      </c>
    </row>
    <row r="705" spans="7:10" x14ac:dyDescent="0.25">
      <c r="G705">
        <f t="shared" si="63"/>
        <v>0.69700000000000051</v>
      </c>
      <c r="H705" s="25">
        <f t="shared" si="61"/>
        <v>37.525137333930005</v>
      </c>
      <c r="J705">
        <f t="shared" si="62"/>
        <v>2.7272888196036362</v>
      </c>
    </row>
    <row r="706" spans="7:10" x14ac:dyDescent="0.25">
      <c r="G706">
        <f t="shared" si="63"/>
        <v>0.69800000000000051</v>
      </c>
      <c r="H706" s="25">
        <f t="shared" si="61"/>
        <v>37.5881817226024</v>
      </c>
      <c r="J706">
        <f t="shared" si="62"/>
        <v>2.7316163198616605</v>
      </c>
    </row>
    <row r="707" spans="7:10" x14ac:dyDescent="0.25">
      <c r="G707">
        <f t="shared" si="63"/>
        <v>0.69900000000000051</v>
      </c>
      <c r="H707" s="25">
        <f t="shared" si="61"/>
        <v>37.651132797192382</v>
      </c>
      <c r="J707">
        <f t="shared" si="62"/>
        <v>2.7359356008051234</v>
      </c>
    </row>
    <row r="708" spans="7:10" x14ac:dyDescent="0.25">
      <c r="G708">
        <f t="shared" si="63"/>
        <v>0.70000000000000051</v>
      </c>
      <c r="H708" s="25">
        <f t="shared" si="61"/>
        <v>37.713990043995196</v>
      </c>
      <c r="J708">
        <f t="shared" si="62"/>
        <v>2.740246622059384</v>
      </c>
    </row>
    <row r="709" spans="7:10" x14ac:dyDescent="0.25">
      <c r="G709">
        <f t="shared" si="63"/>
        <v>0.70100000000000051</v>
      </c>
      <c r="H709" s="25">
        <f t="shared" si="61"/>
        <v>37.776752949306079</v>
      </c>
      <c r="J709">
        <f t="shared" si="62"/>
        <v>2.7445493432498029</v>
      </c>
    </row>
    <row r="710" spans="7:10" x14ac:dyDescent="0.25">
      <c r="G710">
        <f t="shared" si="63"/>
        <v>0.70200000000000051</v>
      </c>
      <c r="H710" s="25">
        <f t="shared" si="61"/>
        <v>37.839420999420291</v>
      </c>
      <c r="J710">
        <f t="shared" si="62"/>
        <v>2.7488437240017394</v>
      </c>
    </row>
    <row r="711" spans="7:10" x14ac:dyDescent="0.25">
      <c r="G711">
        <f t="shared" si="63"/>
        <v>0.70300000000000051</v>
      </c>
      <c r="H711" s="25">
        <f t="shared" si="61"/>
        <v>37.901993680633055</v>
      </c>
      <c r="J711">
        <f t="shared" si="62"/>
        <v>2.7531297239405541</v>
      </c>
    </row>
    <row r="712" spans="7:10" x14ac:dyDescent="0.25">
      <c r="G712">
        <f t="shared" si="63"/>
        <v>0.70400000000000051</v>
      </c>
      <c r="H712" s="25">
        <f t="shared" ref="H712:H775" si="64">$D$8*(1-G712)^3+3*$D$9*G712*(1-G712)^2+3*$D$10*(G712)^2*(1-G712)+(G712^3*$D$11)</f>
        <v>37.96447047923963</v>
      </c>
      <c r="J712">
        <f t="shared" si="62"/>
        <v>2.7574073026916075</v>
      </c>
    </row>
    <row r="713" spans="7:10" x14ac:dyDescent="0.25">
      <c r="G713">
        <f t="shared" si="63"/>
        <v>0.70500000000000052</v>
      </c>
      <c r="H713" s="25">
        <f t="shared" si="64"/>
        <v>38.026850881535246</v>
      </c>
      <c r="J713">
        <f t="shared" ref="J713:J776" si="65">$E$8*(1-G713)^3+3*$E$9*G713*(1-G713)^2+3*$E$10*(G713)^2*(1-G713)+(G713^3*$E$11)</f>
        <v>2.761676419880259</v>
      </c>
    </row>
    <row r="714" spans="7:10" x14ac:dyDescent="0.25">
      <c r="G714">
        <f t="shared" ref="G714:G777" si="66">G713+0.001</f>
        <v>0.70600000000000052</v>
      </c>
      <c r="H714" s="25">
        <f t="shared" si="64"/>
        <v>38.089134373815149</v>
      </c>
      <c r="J714">
        <f t="shared" si="65"/>
        <v>2.7659370351318682</v>
      </c>
    </row>
    <row r="715" spans="7:10" x14ac:dyDescent="0.25">
      <c r="G715">
        <f t="shared" si="66"/>
        <v>0.70700000000000052</v>
      </c>
      <c r="H715" s="25">
        <f t="shared" si="64"/>
        <v>38.151320442374583</v>
      </c>
      <c r="J715">
        <f t="shared" si="65"/>
        <v>2.7701891080717962</v>
      </c>
    </row>
    <row r="716" spans="7:10" x14ac:dyDescent="0.25">
      <c r="G716">
        <f t="shared" si="66"/>
        <v>0.70800000000000052</v>
      </c>
      <c r="H716" s="25">
        <f t="shared" si="64"/>
        <v>38.213408573508787</v>
      </c>
      <c r="J716">
        <f t="shared" si="65"/>
        <v>2.7744325983254017</v>
      </c>
    </row>
    <row r="717" spans="7:10" x14ac:dyDescent="0.25">
      <c r="G717">
        <f t="shared" si="66"/>
        <v>0.70900000000000052</v>
      </c>
      <c r="H717" s="25">
        <f t="shared" si="64"/>
        <v>38.275398253513004</v>
      </c>
      <c r="J717">
        <f t="shared" si="65"/>
        <v>2.7786674655180459</v>
      </c>
    </row>
    <row r="718" spans="7:10" x14ac:dyDescent="0.25">
      <c r="G718">
        <f t="shared" si="66"/>
        <v>0.71000000000000052</v>
      </c>
      <c r="H718" s="25">
        <f t="shared" si="64"/>
        <v>38.337288968682486</v>
      </c>
      <c r="J718">
        <f t="shared" si="65"/>
        <v>2.7828936692750883</v>
      </c>
    </row>
    <row r="719" spans="7:10" x14ac:dyDescent="0.25">
      <c r="G719">
        <f t="shared" si="66"/>
        <v>0.71100000000000052</v>
      </c>
      <c r="H719" s="25">
        <f t="shared" si="64"/>
        <v>38.399080205312472</v>
      </c>
      <c r="J719">
        <f t="shared" si="65"/>
        <v>2.7871111692218897</v>
      </c>
    </row>
    <row r="720" spans="7:10" x14ac:dyDescent="0.25">
      <c r="G720">
        <f t="shared" si="66"/>
        <v>0.71200000000000052</v>
      </c>
      <c r="H720" s="25">
        <f t="shared" si="64"/>
        <v>38.460771449698186</v>
      </c>
      <c r="J720">
        <f t="shared" si="65"/>
        <v>2.7913199249838088</v>
      </c>
    </row>
    <row r="721" spans="7:10" x14ac:dyDescent="0.25">
      <c r="G721">
        <f t="shared" si="66"/>
        <v>0.71300000000000052</v>
      </c>
      <c r="H721" s="25">
        <f t="shared" si="64"/>
        <v>38.522362188134892</v>
      </c>
      <c r="J721">
        <f t="shared" si="65"/>
        <v>2.7955198961862058</v>
      </c>
    </row>
    <row r="722" spans="7:10" x14ac:dyDescent="0.25">
      <c r="G722">
        <f t="shared" si="66"/>
        <v>0.71400000000000052</v>
      </c>
      <c r="H722" s="25">
        <f t="shared" si="64"/>
        <v>38.583851906917815</v>
      </c>
      <c r="J722">
        <f t="shared" si="65"/>
        <v>2.7997110424544416</v>
      </c>
    </row>
    <row r="723" spans="7:10" x14ac:dyDescent="0.25">
      <c r="G723">
        <f t="shared" si="66"/>
        <v>0.71500000000000052</v>
      </c>
      <c r="H723" s="25">
        <f t="shared" si="64"/>
        <v>38.645240092342206</v>
      </c>
      <c r="J723">
        <f t="shared" si="65"/>
        <v>2.8038933234138765</v>
      </c>
    </row>
    <row r="724" spans="7:10" x14ac:dyDescent="0.25">
      <c r="G724">
        <f t="shared" si="66"/>
        <v>0.71600000000000052</v>
      </c>
      <c r="H724" s="25">
        <f t="shared" si="64"/>
        <v>38.706526230703318</v>
      </c>
      <c r="J724">
        <f t="shared" si="65"/>
        <v>2.8080666986898697</v>
      </c>
    </row>
    <row r="725" spans="7:10" x14ac:dyDescent="0.25">
      <c r="G725">
        <f t="shared" si="66"/>
        <v>0.71700000000000053</v>
      </c>
      <c r="H725" s="25">
        <f t="shared" si="64"/>
        <v>38.767709808296381</v>
      </c>
      <c r="J725">
        <f t="shared" si="65"/>
        <v>2.812231127907781</v>
      </c>
    </row>
    <row r="726" spans="7:10" x14ac:dyDescent="0.25">
      <c r="G726">
        <f t="shared" si="66"/>
        <v>0.71800000000000053</v>
      </c>
      <c r="H726" s="25">
        <f t="shared" si="64"/>
        <v>38.828790311416633</v>
      </c>
      <c r="J726">
        <f t="shared" si="65"/>
        <v>2.8163865706929698</v>
      </c>
    </row>
    <row r="727" spans="7:10" x14ac:dyDescent="0.25">
      <c r="G727">
        <f t="shared" si="66"/>
        <v>0.71900000000000053</v>
      </c>
      <c r="H727" s="25">
        <f t="shared" si="64"/>
        <v>38.889767226359325</v>
      </c>
      <c r="J727">
        <f t="shared" si="65"/>
        <v>2.8205329866707984</v>
      </c>
    </row>
    <row r="728" spans="7:10" x14ac:dyDescent="0.25">
      <c r="G728">
        <f t="shared" si="66"/>
        <v>0.72000000000000053</v>
      </c>
      <c r="H728" s="25">
        <f t="shared" si="64"/>
        <v>38.950640039419696</v>
      </c>
      <c r="J728">
        <f t="shared" si="65"/>
        <v>2.8246703354666249</v>
      </c>
    </row>
    <row r="729" spans="7:10" x14ac:dyDescent="0.25">
      <c r="G729">
        <f t="shared" si="66"/>
        <v>0.72100000000000053</v>
      </c>
      <c r="H729" s="25">
        <f t="shared" si="64"/>
        <v>39.01140823689299</v>
      </c>
      <c r="J729">
        <f t="shared" si="65"/>
        <v>2.8287985767058106</v>
      </c>
    </row>
    <row r="730" spans="7:10" x14ac:dyDescent="0.25">
      <c r="G730">
        <f t="shared" si="66"/>
        <v>0.72200000000000053</v>
      </c>
      <c r="H730" s="25">
        <f t="shared" si="64"/>
        <v>39.072071305074445</v>
      </c>
      <c r="J730">
        <f t="shared" si="65"/>
        <v>2.8329176700137149</v>
      </c>
    </row>
    <row r="731" spans="7:10" x14ac:dyDescent="0.25">
      <c r="G731">
        <f t="shared" si="66"/>
        <v>0.72300000000000053</v>
      </c>
      <c r="H731" s="25">
        <f t="shared" si="64"/>
        <v>39.132628730259313</v>
      </c>
      <c r="J731">
        <f t="shared" si="65"/>
        <v>2.8370275750156972</v>
      </c>
    </row>
    <row r="732" spans="7:10" x14ac:dyDescent="0.25">
      <c r="G732">
        <f t="shared" si="66"/>
        <v>0.72400000000000053</v>
      </c>
      <c r="H732" s="25">
        <f t="shared" si="64"/>
        <v>39.193079998742817</v>
      </c>
      <c r="J732">
        <f t="shared" si="65"/>
        <v>2.8411282513371181</v>
      </c>
    </row>
    <row r="733" spans="7:10" x14ac:dyDescent="0.25">
      <c r="G733">
        <f t="shared" si="66"/>
        <v>0.72500000000000053</v>
      </c>
      <c r="H733" s="25">
        <f t="shared" si="64"/>
        <v>39.253424596820224</v>
      </c>
      <c r="J733">
        <f t="shared" si="65"/>
        <v>2.8452196586033383</v>
      </c>
    </row>
    <row r="734" spans="7:10" x14ac:dyDescent="0.25">
      <c r="G734">
        <f t="shared" si="66"/>
        <v>0.72600000000000053</v>
      </c>
      <c r="H734" s="25">
        <f t="shared" si="64"/>
        <v>39.313662010786757</v>
      </c>
      <c r="J734">
        <f t="shared" si="65"/>
        <v>2.8493017564397167</v>
      </c>
    </row>
    <row r="735" spans="7:10" x14ac:dyDescent="0.25">
      <c r="G735">
        <f t="shared" si="66"/>
        <v>0.72700000000000053</v>
      </c>
      <c r="H735" s="25">
        <f t="shared" si="64"/>
        <v>39.373791726937668</v>
      </c>
      <c r="J735">
        <f t="shared" si="65"/>
        <v>2.8533745044716143</v>
      </c>
    </row>
    <row r="736" spans="7:10" x14ac:dyDescent="0.25">
      <c r="G736">
        <f t="shared" si="66"/>
        <v>0.72800000000000054</v>
      </c>
      <c r="H736" s="25">
        <f t="shared" si="64"/>
        <v>39.433813231568209</v>
      </c>
      <c r="J736">
        <f t="shared" si="65"/>
        <v>2.8574378623243906</v>
      </c>
    </row>
    <row r="737" spans="7:10" x14ac:dyDescent="0.25">
      <c r="G737">
        <f t="shared" si="66"/>
        <v>0.72900000000000054</v>
      </c>
      <c r="H737" s="25">
        <f t="shared" si="64"/>
        <v>39.493726010973589</v>
      </c>
      <c r="J737">
        <f t="shared" si="65"/>
        <v>2.8614917896234058</v>
      </c>
    </row>
    <row r="738" spans="7:10" x14ac:dyDescent="0.25">
      <c r="G738">
        <f t="shared" si="66"/>
        <v>0.73000000000000054</v>
      </c>
      <c r="H738" s="25">
        <f t="shared" si="64"/>
        <v>39.553529551449088</v>
      </c>
      <c r="J738">
        <f t="shared" si="65"/>
        <v>2.8655362459940186</v>
      </c>
    </row>
    <row r="739" spans="7:10" x14ac:dyDescent="0.25">
      <c r="G739">
        <f t="shared" si="66"/>
        <v>0.73100000000000054</v>
      </c>
      <c r="H739" s="25">
        <f t="shared" si="64"/>
        <v>39.613223339289917</v>
      </c>
      <c r="J739">
        <f t="shared" si="65"/>
        <v>2.8695711910615911</v>
      </c>
    </row>
    <row r="740" spans="7:10" x14ac:dyDescent="0.25">
      <c r="G740">
        <f t="shared" si="66"/>
        <v>0.73200000000000054</v>
      </c>
      <c r="H740" s="25">
        <f t="shared" si="64"/>
        <v>39.672806860791347</v>
      </c>
      <c r="J740">
        <f t="shared" si="65"/>
        <v>2.8735965844514824</v>
      </c>
    </row>
    <row r="741" spans="7:10" x14ac:dyDescent="0.25">
      <c r="G741">
        <f t="shared" si="66"/>
        <v>0.73300000000000054</v>
      </c>
      <c r="H741" s="25">
        <f t="shared" si="64"/>
        <v>39.732279602248596</v>
      </c>
      <c r="J741">
        <f t="shared" si="65"/>
        <v>2.8776123857890532</v>
      </c>
    </row>
    <row r="742" spans="7:10" x14ac:dyDescent="0.25">
      <c r="G742">
        <f t="shared" si="66"/>
        <v>0.73400000000000054</v>
      </c>
      <c r="H742" s="25">
        <f t="shared" si="64"/>
        <v>39.791641049956922</v>
      </c>
      <c r="J742">
        <f t="shared" si="65"/>
        <v>2.8816185546996618</v>
      </c>
    </row>
    <row r="743" spans="7:10" x14ac:dyDescent="0.25">
      <c r="G743">
        <f t="shared" si="66"/>
        <v>0.73500000000000054</v>
      </c>
      <c r="H743" s="25">
        <f t="shared" si="64"/>
        <v>39.850890690211571</v>
      </c>
      <c r="J743">
        <f t="shared" si="65"/>
        <v>2.8856150508086698</v>
      </c>
    </row>
    <row r="744" spans="7:10" x14ac:dyDescent="0.25">
      <c r="G744">
        <f t="shared" si="66"/>
        <v>0.73600000000000054</v>
      </c>
      <c r="H744" s="25">
        <f t="shared" si="64"/>
        <v>39.910028009307766</v>
      </c>
      <c r="J744">
        <f t="shared" si="65"/>
        <v>2.8896018337414375</v>
      </c>
    </row>
    <row r="745" spans="7:10" x14ac:dyDescent="0.25">
      <c r="G745">
        <f t="shared" si="66"/>
        <v>0.73700000000000054</v>
      </c>
      <c r="H745" s="25">
        <f t="shared" si="64"/>
        <v>39.969052493540751</v>
      </c>
      <c r="J745">
        <f t="shared" si="65"/>
        <v>2.8935788631233228</v>
      </c>
    </row>
    <row r="746" spans="7:10" x14ac:dyDescent="0.25">
      <c r="G746">
        <f t="shared" si="66"/>
        <v>0.73800000000000054</v>
      </c>
      <c r="H746" s="25">
        <f t="shared" si="64"/>
        <v>40.027963629205786</v>
      </c>
      <c r="J746">
        <f t="shared" si="65"/>
        <v>2.8975460985796877</v>
      </c>
    </row>
    <row r="747" spans="7:10" x14ac:dyDescent="0.25">
      <c r="G747">
        <f t="shared" si="66"/>
        <v>0.73900000000000055</v>
      </c>
      <c r="H747" s="25">
        <f t="shared" si="64"/>
        <v>40.086760902598108</v>
      </c>
      <c r="J747">
        <f t="shared" si="65"/>
        <v>2.9015034997358917</v>
      </c>
    </row>
    <row r="748" spans="7:10" x14ac:dyDescent="0.25">
      <c r="G748">
        <f t="shared" si="66"/>
        <v>0.74000000000000055</v>
      </c>
      <c r="H748" s="25">
        <f t="shared" si="64"/>
        <v>40.145443800012956</v>
      </c>
      <c r="J748">
        <f t="shared" si="65"/>
        <v>2.9054510262172952</v>
      </c>
    </row>
    <row r="749" spans="7:10" x14ac:dyDescent="0.25">
      <c r="G749">
        <f t="shared" si="66"/>
        <v>0.74100000000000055</v>
      </c>
      <c r="H749" s="25">
        <f t="shared" si="64"/>
        <v>40.204011807745559</v>
      </c>
      <c r="J749">
        <f t="shared" si="65"/>
        <v>2.9093886376492568</v>
      </c>
    </row>
    <row r="750" spans="7:10" x14ac:dyDescent="0.25">
      <c r="G750">
        <f t="shared" si="66"/>
        <v>0.74200000000000055</v>
      </c>
      <c r="H750" s="25">
        <f t="shared" si="64"/>
        <v>40.262464412091177</v>
      </c>
      <c r="J750">
        <f t="shared" si="65"/>
        <v>2.9133162936571382</v>
      </c>
    </row>
    <row r="751" spans="7:10" x14ac:dyDescent="0.25">
      <c r="G751">
        <f t="shared" si="66"/>
        <v>0.74300000000000055</v>
      </c>
      <c r="H751" s="25">
        <f t="shared" si="64"/>
        <v>40.320801099345047</v>
      </c>
      <c r="J751">
        <f t="shared" si="65"/>
        <v>2.9172339538662984</v>
      </c>
    </row>
    <row r="752" spans="7:10" x14ac:dyDescent="0.25">
      <c r="G752">
        <f t="shared" si="66"/>
        <v>0.74400000000000055</v>
      </c>
      <c r="H752" s="25">
        <f t="shared" si="64"/>
        <v>40.379021355802422</v>
      </c>
      <c r="J752">
        <f t="shared" si="65"/>
        <v>2.9211415779020973</v>
      </c>
    </row>
    <row r="753" spans="7:10" x14ac:dyDescent="0.25">
      <c r="G753">
        <f t="shared" si="66"/>
        <v>0.74500000000000055</v>
      </c>
      <c r="H753" s="25">
        <f t="shared" si="64"/>
        <v>40.437124667758511</v>
      </c>
      <c r="J753">
        <f t="shared" si="65"/>
        <v>2.9250391253898962</v>
      </c>
    </row>
    <row r="754" spans="7:10" x14ac:dyDescent="0.25">
      <c r="G754">
        <f t="shared" si="66"/>
        <v>0.74600000000000055</v>
      </c>
      <c r="H754" s="25">
        <f t="shared" si="64"/>
        <v>40.495110521508607</v>
      </c>
      <c r="J754">
        <f t="shared" si="65"/>
        <v>2.9289265559550541</v>
      </c>
    </row>
    <row r="755" spans="7:10" x14ac:dyDescent="0.25">
      <c r="G755">
        <f t="shared" si="66"/>
        <v>0.74700000000000055</v>
      </c>
      <c r="H755" s="25">
        <f t="shared" si="64"/>
        <v>40.552978403347915</v>
      </c>
      <c r="J755">
        <f t="shared" si="65"/>
        <v>2.9328038292229315</v>
      </c>
    </row>
    <row r="756" spans="7:10" x14ac:dyDescent="0.25">
      <c r="G756">
        <f t="shared" si="66"/>
        <v>0.74800000000000055</v>
      </c>
      <c r="H756" s="25">
        <f t="shared" si="64"/>
        <v>40.610727799571677</v>
      </c>
      <c r="J756">
        <f t="shared" si="65"/>
        <v>2.9366709048188877</v>
      </c>
    </row>
    <row r="757" spans="7:10" x14ac:dyDescent="0.25">
      <c r="G757">
        <f t="shared" si="66"/>
        <v>0.74900000000000055</v>
      </c>
      <c r="H757" s="25">
        <f t="shared" si="64"/>
        <v>40.668358196475154</v>
      </c>
      <c r="J757">
        <f t="shared" si="65"/>
        <v>2.9405277423682832</v>
      </c>
    </row>
    <row r="758" spans="7:10" x14ac:dyDescent="0.25">
      <c r="G758">
        <f t="shared" si="66"/>
        <v>0.75000000000000056</v>
      </c>
      <c r="H758" s="25">
        <f t="shared" si="64"/>
        <v>40.725869080353576</v>
      </c>
      <c r="J758">
        <f t="shared" si="65"/>
        <v>2.9443743014964783</v>
      </c>
    </row>
    <row r="759" spans="7:10" x14ac:dyDescent="0.25">
      <c r="G759">
        <f t="shared" si="66"/>
        <v>0.75100000000000056</v>
      </c>
      <c r="H759" s="25">
        <f t="shared" si="64"/>
        <v>40.78325993750218</v>
      </c>
      <c r="J759">
        <f t="shared" si="65"/>
        <v>2.9482105418288325</v>
      </c>
    </row>
    <row r="760" spans="7:10" x14ac:dyDescent="0.25">
      <c r="G760">
        <f t="shared" si="66"/>
        <v>0.75200000000000056</v>
      </c>
      <c r="H760" s="25">
        <f t="shared" si="64"/>
        <v>40.840530254216219</v>
      </c>
      <c r="J760">
        <f t="shared" si="65"/>
        <v>2.9520364229907052</v>
      </c>
    </row>
    <row r="761" spans="7:10" x14ac:dyDescent="0.25">
      <c r="G761">
        <f t="shared" si="66"/>
        <v>0.75300000000000056</v>
      </c>
      <c r="H761" s="25">
        <f t="shared" si="64"/>
        <v>40.897679516790959</v>
      </c>
      <c r="J761">
        <f t="shared" si="65"/>
        <v>2.9558519046074592</v>
      </c>
    </row>
    <row r="762" spans="7:10" x14ac:dyDescent="0.25">
      <c r="G762">
        <f t="shared" si="66"/>
        <v>0.75400000000000056</v>
      </c>
      <c r="H762" s="25">
        <f t="shared" si="64"/>
        <v>40.95470721152158</v>
      </c>
      <c r="J762">
        <f t="shared" si="65"/>
        <v>2.9596569463044511</v>
      </c>
    </row>
    <row r="763" spans="7:10" x14ac:dyDescent="0.25">
      <c r="G763">
        <f t="shared" si="66"/>
        <v>0.75500000000000056</v>
      </c>
      <c r="H763" s="25">
        <f t="shared" si="64"/>
        <v>41.011612824703391</v>
      </c>
      <c r="J763">
        <f t="shared" si="65"/>
        <v>2.9634515077070431</v>
      </c>
    </row>
    <row r="764" spans="7:10" x14ac:dyDescent="0.25">
      <c r="G764">
        <f t="shared" si="66"/>
        <v>0.75600000000000056</v>
      </c>
      <c r="H764" s="25">
        <f t="shared" si="64"/>
        <v>41.068395842631574</v>
      </c>
      <c r="J764">
        <f t="shared" si="65"/>
        <v>2.9672355484405939</v>
      </c>
    </row>
    <row r="765" spans="7:10" x14ac:dyDescent="0.25">
      <c r="G765">
        <f t="shared" si="66"/>
        <v>0.75700000000000056</v>
      </c>
      <c r="H765" s="25">
        <f t="shared" si="64"/>
        <v>41.125055751601423</v>
      </c>
      <c r="J765">
        <f t="shared" si="65"/>
        <v>2.9710090281304646</v>
      </c>
    </row>
    <row r="766" spans="7:10" x14ac:dyDescent="0.25">
      <c r="G766">
        <f t="shared" si="66"/>
        <v>0.75800000000000056</v>
      </c>
      <c r="H766" s="25">
        <f t="shared" si="64"/>
        <v>41.181592037908153</v>
      </c>
      <c r="J766">
        <f t="shared" si="65"/>
        <v>2.9747719064020153</v>
      </c>
    </row>
    <row r="767" spans="7:10" x14ac:dyDescent="0.25">
      <c r="G767">
        <f t="shared" si="66"/>
        <v>0.75900000000000056</v>
      </c>
      <c r="H767" s="25">
        <f t="shared" si="64"/>
        <v>41.238004187847011</v>
      </c>
      <c r="J767">
        <f t="shared" si="65"/>
        <v>2.9785241428806044</v>
      </c>
    </row>
    <row r="768" spans="7:10" x14ac:dyDescent="0.25">
      <c r="G768">
        <f t="shared" si="66"/>
        <v>0.76000000000000056</v>
      </c>
      <c r="H768" s="25">
        <f t="shared" si="64"/>
        <v>41.29429168771324</v>
      </c>
      <c r="J768">
        <f t="shared" si="65"/>
        <v>2.9822656971915942</v>
      </c>
    </row>
    <row r="769" spans="7:10" x14ac:dyDescent="0.25">
      <c r="G769">
        <f t="shared" si="66"/>
        <v>0.76100000000000056</v>
      </c>
      <c r="H769" s="25">
        <f t="shared" si="64"/>
        <v>41.350454023802087</v>
      </c>
      <c r="J769">
        <f t="shared" si="65"/>
        <v>2.9859965289603432</v>
      </c>
    </row>
    <row r="770" spans="7:10" x14ac:dyDescent="0.25">
      <c r="G770">
        <f t="shared" si="66"/>
        <v>0.76200000000000057</v>
      </c>
      <c r="H770" s="25">
        <f t="shared" si="64"/>
        <v>41.406490682408773</v>
      </c>
      <c r="J770">
        <f t="shared" si="65"/>
        <v>2.9897165978122109</v>
      </c>
    </row>
    <row r="771" spans="7:10" x14ac:dyDescent="0.25">
      <c r="G771">
        <f t="shared" si="66"/>
        <v>0.76300000000000057</v>
      </c>
      <c r="H771" s="25">
        <f t="shared" si="64"/>
        <v>41.462401149828565</v>
      </c>
      <c r="J771">
        <f t="shared" si="65"/>
        <v>2.9934258633725594</v>
      </c>
    </row>
    <row r="772" spans="7:10" x14ac:dyDescent="0.25">
      <c r="G772">
        <f t="shared" si="66"/>
        <v>0.76400000000000057</v>
      </c>
      <c r="H772" s="25">
        <f t="shared" si="64"/>
        <v>41.518184912356716</v>
      </c>
      <c r="J772">
        <f t="shared" si="65"/>
        <v>2.9971242852667475</v>
      </c>
    </row>
    <row r="773" spans="7:10" x14ac:dyDescent="0.25">
      <c r="G773">
        <f t="shared" si="66"/>
        <v>0.76500000000000057</v>
      </c>
      <c r="H773" s="25">
        <f t="shared" si="64"/>
        <v>41.573841456288434</v>
      </c>
      <c r="J773">
        <f t="shared" si="65"/>
        <v>3.0008118231201348</v>
      </c>
    </row>
    <row r="774" spans="7:10" x14ac:dyDescent="0.25">
      <c r="G774">
        <f t="shared" si="66"/>
        <v>0.76600000000000057</v>
      </c>
      <c r="H774" s="25">
        <f t="shared" si="64"/>
        <v>41.629370267918972</v>
      </c>
      <c r="J774">
        <f t="shared" si="65"/>
        <v>3.004488436558082</v>
      </c>
    </row>
    <row r="775" spans="7:10" x14ac:dyDescent="0.25">
      <c r="G775">
        <f t="shared" si="66"/>
        <v>0.76700000000000057</v>
      </c>
      <c r="H775" s="25">
        <f t="shared" si="64"/>
        <v>41.684770833543581</v>
      </c>
      <c r="J775">
        <f t="shared" si="65"/>
        <v>3.0081540852059483</v>
      </c>
    </row>
    <row r="776" spans="7:10" x14ac:dyDescent="0.25">
      <c r="G776">
        <f t="shared" si="66"/>
        <v>0.76800000000000057</v>
      </c>
      <c r="H776" s="25">
        <f t="shared" ref="H776:H839" si="67">$D$8*(1-G776)^3+3*$D$9*G776*(1-G776)^2+3*$D$10*(G776)^2*(1-G776)+(G776^3*$D$11)</f>
        <v>41.740042639457499</v>
      </c>
      <c r="J776">
        <f t="shared" si="65"/>
        <v>3.0118087286890951</v>
      </c>
    </row>
    <row r="777" spans="7:10" x14ac:dyDescent="0.25">
      <c r="G777">
        <f t="shared" si="66"/>
        <v>0.76900000000000057</v>
      </c>
      <c r="H777" s="25">
        <f t="shared" si="67"/>
        <v>41.795185171955971</v>
      </c>
      <c r="J777">
        <f t="shared" ref="J777:J840" si="68">$E$8*(1-G777)^3+3*$E$9*G777*(1-G777)^2+3*$E$10*(G777)^2*(1-G777)+(G777^3*$E$11)</f>
        <v>3.0154523266328819</v>
      </c>
    </row>
    <row r="778" spans="7:10" x14ac:dyDescent="0.25">
      <c r="G778">
        <f t="shared" ref="G778:G841" si="69">G777+0.001</f>
        <v>0.77000000000000057</v>
      </c>
      <c r="H778" s="25">
        <f t="shared" si="67"/>
        <v>41.850197917334235</v>
      </c>
      <c r="J778">
        <f t="shared" si="68"/>
        <v>3.0190848386626676</v>
      </c>
    </row>
    <row r="779" spans="7:10" x14ac:dyDescent="0.25">
      <c r="G779">
        <f t="shared" si="69"/>
        <v>0.77100000000000057</v>
      </c>
      <c r="H779" s="25">
        <f t="shared" si="67"/>
        <v>41.905080361887528</v>
      </c>
      <c r="J779">
        <f t="shared" si="68"/>
        <v>3.0227062244038141</v>
      </c>
    </row>
    <row r="780" spans="7:10" x14ac:dyDescent="0.25">
      <c r="G780">
        <f t="shared" si="69"/>
        <v>0.77200000000000057</v>
      </c>
      <c r="H780" s="25">
        <f t="shared" si="67"/>
        <v>41.959831991911109</v>
      </c>
      <c r="J780">
        <f t="shared" si="68"/>
        <v>3.0263164434816794</v>
      </c>
    </row>
    <row r="781" spans="7:10" x14ac:dyDescent="0.25">
      <c r="G781">
        <f t="shared" si="69"/>
        <v>0.77300000000000058</v>
      </c>
      <c r="H781" s="25">
        <f t="shared" si="67"/>
        <v>42.014452293700217</v>
      </c>
      <c r="J781">
        <f t="shared" si="68"/>
        <v>3.0299154555216257</v>
      </c>
    </row>
    <row r="782" spans="7:10" x14ac:dyDescent="0.25">
      <c r="G782">
        <f t="shared" si="69"/>
        <v>0.77400000000000058</v>
      </c>
      <c r="H782" s="25">
        <f t="shared" si="67"/>
        <v>42.068940753550081</v>
      </c>
      <c r="J782">
        <f t="shared" si="68"/>
        <v>3.0335032201490115</v>
      </c>
    </row>
    <row r="783" spans="7:10" x14ac:dyDescent="0.25">
      <c r="G783">
        <f t="shared" si="69"/>
        <v>0.77500000000000058</v>
      </c>
      <c r="H783" s="25">
        <f t="shared" si="67"/>
        <v>42.123296857755939</v>
      </c>
      <c r="J783">
        <f t="shared" si="68"/>
        <v>3.0370796969891964</v>
      </c>
    </row>
    <row r="784" spans="7:10" x14ac:dyDescent="0.25">
      <c r="G784">
        <f t="shared" si="69"/>
        <v>0.77600000000000058</v>
      </c>
      <c r="H784" s="25">
        <f t="shared" si="67"/>
        <v>42.177520092613065</v>
      </c>
      <c r="J784">
        <f t="shared" si="68"/>
        <v>3.0406448456675426</v>
      </c>
    </row>
    <row r="785" spans="7:10" x14ac:dyDescent="0.25">
      <c r="G785">
        <f t="shared" si="69"/>
        <v>0.77700000000000058</v>
      </c>
      <c r="H785" s="25">
        <f t="shared" si="67"/>
        <v>42.231609944416661</v>
      </c>
      <c r="J785">
        <f t="shared" si="68"/>
        <v>3.0441986258094076</v>
      </c>
    </row>
    <row r="786" spans="7:10" x14ac:dyDescent="0.25">
      <c r="G786">
        <f t="shared" si="69"/>
        <v>0.77800000000000058</v>
      </c>
      <c r="H786" s="25">
        <f t="shared" si="67"/>
        <v>42.285565899462007</v>
      </c>
      <c r="J786">
        <f t="shared" si="68"/>
        <v>3.0477409970401537</v>
      </c>
    </row>
    <row r="787" spans="7:10" x14ac:dyDescent="0.25">
      <c r="G787">
        <f t="shared" si="69"/>
        <v>0.77900000000000058</v>
      </c>
      <c r="H787" s="25">
        <f t="shared" si="67"/>
        <v>42.339387444044313</v>
      </c>
      <c r="J787">
        <f t="shared" si="68"/>
        <v>3.0512719189851394</v>
      </c>
    </row>
    <row r="788" spans="7:10" x14ac:dyDescent="0.25">
      <c r="G788">
        <f t="shared" si="69"/>
        <v>0.78000000000000058</v>
      </c>
      <c r="H788" s="25">
        <f t="shared" si="67"/>
        <v>42.393074064458851</v>
      </c>
      <c r="J788">
        <f t="shared" si="68"/>
        <v>3.0547913512697251</v>
      </c>
    </row>
    <row r="789" spans="7:10" x14ac:dyDescent="0.25">
      <c r="G789">
        <f t="shared" si="69"/>
        <v>0.78100000000000058</v>
      </c>
      <c r="H789" s="25">
        <f t="shared" si="67"/>
        <v>42.446625247000831</v>
      </c>
      <c r="J789">
        <f t="shared" si="68"/>
        <v>3.0582992535192703</v>
      </c>
    </row>
    <row r="790" spans="7:10" x14ac:dyDescent="0.25">
      <c r="G790">
        <f t="shared" si="69"/>
        <v>0.78200000000000058</v>
      </c>
      <c r="H790" s="25">
        <f t="shared" si="67"/>
        <v>42.500040477965527</v>
      </c>
      <c r="J790">
        <f t="shared" si="68"/>
        <v>3.0617955853591363</v>
      </c>
    </row>
    <row r="791" spans="7:10" x14ac:dyDescent="0.25">
      <c r="G791">
        <f t="shared" si="69"/>
        <v>0.78300000000000058</v>
      </c>
      <c r="H791" s="25">
        <f t="shared" si="67"/>
        <v>42.553319243648154</v>
      </c>
      <c r="J791">
        <f t="shared" si="68"/>
        <v>3.0652803064146816</v>
      </c>
    </row>
    <row r="792" spans="7:10" x14ac:dyDescent="0.25">
      <c r="G792">
        <f t="shared" si="69"/>
        <v>0.78400000000000059</v>
      </c>
      <c r="H792" s="25">
        <f t="shared" si="67"/>
        <v>42.606461030343965</v>
      </c>
      <c r="J792">
        <f t="shared" si="68"/>
        <v>3.068753376311268</v>
      </c>
    </row>
    <row r="793" spans="7:10" x14ac:dyDescent="0.25">
      <c r="G793">
        <f t="shared" si="69"/>
        <v>0.78500000000000059</v>
      </c>
      <c r="H793" s="25">
        <f t="shared" si="67"/>
        <v>42.659465324348218</v>
      </c>
      <c r="J793">
        <f t="shared" si="68"/>
        <v>3.0722147546742544</v>
      </c>
    </row>
    <row r="794" spans="7:10" x14ac:dyDescent="0.25">
      <c r="G794">
        <f t="shared" si="69"/>
        <v>0.78600000000000059</v>
      </c>
      <c r="H794" s="25">
        <f t="shared" si="67"/>
        <v>42.712331611956131</v>
      </c>
      <c r="J794">
        <f t="shared" si="68"/>
        <v>3.0756644011290013</v>
      </c>
    </row>
    <row r="795" spans="7:10" x14ac:dyDescent="0.25">
      <c r="G795">
        <f t="shared" si="69"/>
        <v>0.78700000000000059</v>
      </c>
      <c r="H795" s="25">
        <f t="shared" si="67"/>
        <v>42.765059379462969</v>
      </c>
      <c r="J795">
        <f t="shared" si="68"/>
        <v>3.0791022753008681</v>
      </c>
    </row>
    <row r="796" spans="7:10" x14ac:dyDescent="0.25">
      <c r="G796">
        <f t="shared" si="69"/>
        <v>0.78800000000000059</v>
      </c>
      <c r="H796" s="25">
        <f t="shared" si="67"/>
        <v>42.817648113163948</v>
      </c>
      <c r="J796">
        <f t="shared" si="68"/>
        <v>3.0825283368152148</v>
      </c>
    </row>
    <row r="797" spans="7:10" x14ac:dyDescent="0.25">
      <c r="G797">
        <f t="shared" si="69"/>
        <v>0.78900000000000059</v>
      </c>
      <c r="H797" s="25">
        <f t="shared" si="67"/>
        <v>42.870097299354327</v>
      </c>
      <c r="J797">
        <f t="shared" si="68"/>
        <v>3.0859425452974021</v>
      </c>
    </row>
    <row r="798" spans="7:10" x14ac:dyDescent="0.25">
      <c r="G798">
        <f t="shared" si="69"/>
        <v>0.79000000000000059</v>
      </c>
      <c r="H798" s="25">
        <f t="shared" si="67"/>
        <v>42.92240642432936</v>
      </c>
      <c r="J798">
        <f t="shared" si="68"/>
        <v>3.08934486037279</v>
      </c>
    </row>
    <row r="799" spans="7:10" x14ac:dyDescent="0.25">
      <c r="G799">
        <f t="shared" si="69"/>
        <v>0.79100000000000059</v>
      </c>
      <c r="H799" s="25">
        <f t="shared" si="67"/>
        <v>42.974574974384254</v>
      </c>
      <c r="J799">
        <f t="shared" si="68"/>
        <v>3.0927352416667375</v>
      </c>
    </row>
    <row r="800" spans="7:10" x14ac:dyDescent="0.25">
      <c r="G800">
        <f t="shared" si="69"/>
        <v>0.79200000000000059</v>
      </c>
      <c r="H800" s="25">
        <f t="shared" si="67"/>
        <v>43.026602435814283</v>
      </c>
      <c r="J800">
        <f t="shared" si="68"/>
        <v>3.0961136488046064</v>
      </c>
    </row>
    <row r="801" spans="7:10" x14ac:dyDescent="0.25">
      <c r="G801">
        <f t="shared" si="69"/>
        <v>0.79300000000000059</v>
      </c>
      <c r="H801" s="25">
        <f t="shared" si="67"/>
        <v>43.078488294914678</v>
      </c>
      <c r="J801">
        <f t="shared" si="68"/>
        <v>3.0994800414117547</v>
      </c>
    </row>
    <row r="802" spans="7:10" x14ac:dyDescent="0.25">
      <c r="G802">
        <f t="shared" si="69"/>
        <v>0.79400000000000059</v>
      </c>
      <c r="H802" s="25">
        <f t="shared" si="67"/>
        <v>43.13023203798069</v>
      </c>
      <c r="J802">
        <f t="shared" si="68"/>
        <v>3.1028343791135442</v>
      </c>
    </row>
    <row r="803" spans="7:10" x14ac:dyDescent="0.25">
      <c r="G803">
        <f t="shared" si="69"/>
        <v>0.7950000000000006</v>
      </c>
      <c r="H803" s="25">
        <f t="shared" si="67"/>
        <v>43.181833151307536</v>
      </c>
      <c r="J803">
        <f t="shared" si="68"/>
        <v>3.106176621535333</v>
      </c>
    </row>
    <row r="804" spans="7:10" x14ac:dyDescent="0.25">
      <c r="G804">
        <f t="shared" si="69"/>
        <v>0.7960000000000006</v>
      </c>
      <c r="H804" s="25">
        <f t="shared" si="67"/>
        <v>43.233291121190483</v>
      </c>
      <c r="J804">
        <f t="shared" si="68"/>
        <v>3.1095067283024829</v>
      </c>
    </row>
    <row r="805" spans="7:10" x14ac:dyDescent="0.25">
      <c r="G805">
        <f t="shared" si="69"/>
        <v>0.7970000000000006</v>
      </c>
      <c r="H805" s="25">
        <f t="shared" si="67"/>
        <v>43.28460543392476</v>
      </c>
      <c r="J805">
        <f t="shared" si="68"/>
        <v>3.1128246590403537</v>
      </c>
    </row>
    <row r="806" spans="7:10" x14ac:dyDescent="0.25">
      <c r="G806">
        <f t="shared" si="69"/>
        <v>0.7980000000000006</v>
      </c>
      <c r="H806" s="25">
        <f t="shared" si="67"/>
        <v>43.335775575805627</v>
      </c>
      <c r="J806">
        <f t="shared" si="68"/>
        <v>3.1161303733743044</v>
      </c>
    </row>
    <row r="807" spans="7:10" x14ac:dyDescent="0.25">
      <c r="G807">
        <f t="shared" si="69"/>
        <v>0.7990000000000006</v>
      </c>
      <c r="H807" s="25">
        <f t="shared" si="67"/>
        <v>43.386801033128307</v>
      </c>
      <c r="J807">
        <f t="shared" si="68"/>
        <v>3.1194238309296964</v>
      </c>
    </row>
    <row r="808" spans="7:10" x14ac:dyDescent="0.25">
      <c r="G808">
        <f t="shared" si="69"/>
        <v>0.8000000000000006</v>
      </c>
      <c r="H808" s="25">
        <f t="shared" si="67"/>
        <v>43.437681292188053</v>
      </c>
      <c r="J808">
        <f t="shared" si="68"/>
        <v>3.1227049913318883</v>
      </c>
    </row>
    <row r="809" spans="7:10" x14ac:dyDescent="0.25">
      <c r="G809">
        <f t="shared" si="69"/>
        <v>0.8010000000000006</v>
      </c>
      <c r="H809" s="25">
        <f t="shared" si="67"/>
        <v>43.488415839280101</v>
      </c>
      <c r="J809">
        <f t="shared" si="68"/>
        <v>3.1259738142062412</v>
      </c>
    </row>
    <row r="810" spans="7:10" x14ac:dyDescent="0.25">
      <c r="G810">
        <f t="shared" si="69"/>
        <v>0.8020000000000006</v>
      </c>
      <c r="H810" s="25">
        <f t="shared" si="67"/>
        <v>43.539004160699697</v>
      </c>
      <c r="J810">
        <f t="shared" si="68"/>
        <v>3.1292302591781143</v>
      </c>
    </row>
    <row r="811" spans="7:10" x14ac:dyDescent="0.25">
      <c r="G811">
        <f t="shared" si="69"/>
        <v>0.8030000000000006</v>
      </c>
      <c r="H811" s="25">
        <f t="shared" si="67"/>
        <v>43.589445742742072</v>
      </c>
      <c r="J811">
        <f t="shared" si="68"/>
        <v>3.1324742858728678</v>
      </c>
    </row>
    <row r="812" spans="7:10" x14ac:dyDescent="0.25">
      <c r="G812">
        <f t="shared" si="69"/>
        <v>0.8040000000000006</v>
      </c>
      <c r="H812" s="25">
        <f t="shared" si="67"/>
        <v>43.639740071702491</v>
      </c>
      <c r="J812">
        <f t="shared" si="68"/>
        <v>3.1357058539158627</v>
      </c>
    </row>
    <row r="813" spans="7:10" x14ac:dyDescent="0.25">
      <c r="G813">
        <f t="shared" si="69"/>
        <v>0.8050000000000006</v>
      </c>
      <c r="H813" s="25">
        <f t="shared" si="67"/>
        <v>43.689886633876171</v>
      </c>
      <c r="J813">
        <f t="shared" si="68"/>
        <v>3.1389249229324578</v>
      </c>
    </row>
    <row r="814" spans="7:10" x14ac:dyDescent="0.25">
      <c r="G814">
        <f t="shared" si="69"/>
        <v>0.8060000000000006</v>
      </c>
      <c r="H814" s="25">
        <f t="shared" si="67"/>
        <v>43.739884915558392</v>
      </c>
      <c r="J814">
        <f t="shared" si="68"/>
        <v>3.1421314525480142</v>
      </c>
    </row>
    <row r="815" spans="7:10" x14ac:dyDescent="0.25">
      <c r="G815">
        <f t="shared" si="69"/>
        <v>0.80700000000000061</v>
      </c>
      <c r="H815" s="25">
        <f t="shared" si="67"/>
        <v>43.789734403044342</v>
      </c>
      <c r="J815">
        <f t="shared" si="68"/>
        <v>3.1453254023878898</v>
      </c>
    </row>
    <row r="816" spans="7:10" x14ac:dyDescent="0.25">
      <c r="G816">
        <f t="shared" si="69"/>
        <v>0.80800000000000061</v>
      </c>
      <c r="H816" s="25">
        <f t="shared" si="67"/>
        <v>43.839434582629316</v>
      </c>
      <c r="J816">
        <f t="shared" si="68"/>
        <v>3.1485067320774478</v>
      </c>
    </row>
    <row r="817" spans="7:10" x14ac:dyDescent="0.25">
      <c r="G817">
        <f t="shared" si="69"/>
        <v>0.80900000000000061</v>
      </c>
      <c r="H817" s="25">
        <f t="shared" si="67"/>
        <v>43.888984940608516</v>
      </c>
      <c r="J817">
        <f t="shared" si="68"/>
        <v>3.1516754012420458</v>
      </c>
    </row>
    <row r="818" spans="7:10" x14ac:dyDescent="0.25">
      <c r="G818">
        <f t="shared" si="69"/>
        <v>0.81000000000000061</v>
      </c>
      <c r="H818" s="25">
        <f t="shared" si="67"/>
        <v>43.938384963277215</v>
      </c>
      <c r="J818">
        <f t="shared" si="68"/>
        <v>3.1548313695070456</v>
      </c>
    </row>
    <row r="819" spans="7:10" x14ac:dyDescent="0.25">
      <c r="G819">
        <f t="shared" si="69"/>
        <v>0.81100000000000061</v>
      </c>
      <c r="H819" s="25">
        <f t="shared" si="67"/>
        <v>43.98763413693063</v>
      </c>
      <c r="J819">
        <f t="shared" si="68"/>
        <v>3.1579745964978052</v>
      </c>
    </row>
    <row r="820" spans="7:10" x14ac:dyDescent="0.25">
      <c r="G820">
        <f t="shared" si="69"/>
        <v>0.81200000000000061</v>
      </c>
      <c r="H820" s="25">
        <f t="shared" si="67"/>
        <v>44.036731947864027</v>
      </c>
      <c r="J820">
        <f t="shared" si="68"/>
        <v>3.161105041839686</v>
      </c>
    </row>
    <row r="821" spans="7:10" x14ac:dyDescent="0.25">
      <c r="G821">
        <f t="shared" si="69"/>
        <v>0.81300000000000061</v>
      </c>
      <c r="H821" s="25">
        <f t="shared" si="67"/>
        <v>44.085677882372629</v>
      </c>
      <c r="J821">
        <f t="shared" si="68"/>
        <v>3.1642226651580478</v>
      </c>
    </row>
    <row r="822" spans="7:10" x14ac:dyDescent="0.25">
      <c r="G822">
        <f t="shared" si="69"/>
        <v>0.81400000000000061</v>
      </c>
      <c r="H822" s="25">
        <f t="shared" si="67"/>
        <v>44.134471426751681</v>
      </c>
      <c r="J822">
        <f t="shared" si="68"/>
        <v>3.1673274260782502</v>
      </c>
    </row>
    <row r="823" spans="7:10" x14ac:dyDescent="0.25">
      <c r="G823">
        <f t="shared" si="69"/>
        <v>0.81500000000000061</v>
      </c>
      <c r="H823" s="25">
        <f t="shared" si="67"/>
        <v>44.183112067296427</v>
      </c>
      <c r="J823">
        <f t="shared" si="68"/>
        <v>3.1704192842256536</v>
      </c>
    </row>
    <row r="824" spans="7:10" x14ac:dyDescent="0.25">
      <c r="G824">
        <f t="shared" si="69"/>
        <v>0.81600000000000061</v>
      </c>
      <c r="H824" s="25">
        <f t="shared" si="67"/>
        <v>44.231599290302128</v>
      </c>
      <c r="J824">
        <f t="shared" si="68"/>
        <v>3.1734981992256186</v>
      </c>
    </row>
    <row r="825" spans="7:10" x14ac:dyDescent="0.25">
      <c r="G825">
        <f t="shared" si="69"/>
        <v>0.81700000000000061</v>
      </c>
      <c r="H825" s="25">
        <f t="shared" si="67"/>
        <v>44.279932582063999</v>
      </c>
      <c r="J825">
        <f t="shared" si="68"/>
        <v>3.176564130703504</v>
      </c>
    </row>
    <row r="826" spans="7:10" x14ac:dyDescent="0.25">
      <c r="G826">
        <f t="shared" si="69"/>
        <v>0.81800000000000062</v>
      </c>
      <c r="H826" s="25">
        <f t="shared" si="67"/>
        <v>44.3281114288773</v>
      </c>
      <c r="J826">
        <f t="shared" si="68"/>
        <v>3.17961703828467</v>
      </c>
    </row>
    <row r="827" spans="7:10" x14ac:dyDescent="0.25">
      <c r="G827">
        <f t="shared" si="69"/>
        <v>0.81900000000000062</v>
      </c>
      <c r="H827" s="25">
        <f t="shared" si="67"/>
        <v>44.376135317037267</v>
      </c>
      <c r="J827">
        <f t="shared" si="68"/>
        <v>3.182656881594478</v>
      </c>
    </row>
    <row r="828" spans="7:10" x14ac:dyDescent="0.25">
      <c r="G828">
        <f t="shared" si="69"/>
        <v>0.82000000000000062</v>
      </c>
      <c r="H828" s="25">
        <f t="shared" si="67"/>
        <v>44.424003732839125</v>
      </c>
      <c r="J828">
        <f t="shared" si="68"/>
        <v>3.1856836202582857</v>
      </c>
    </row>
    <row r="829" spans="7:10" x14ac:dyDescent="0.25">
      <c r="G829">
        <f t="shared" si="69"/>
        <v>0.82100000000000062</v>
      </c>
      <c r="H829" s="25">
        <f t="shared" si="67"/>
        <v>44.471716162578154</v>
      </c>
      <c r="J829">
        <f t="shared" si="68"/>
        <v>3.188697213901456</v>
      </c>
    </row>
    <row r="830" spans="7:10" x14ac:dyDescent="0.25">
      <c r="G830">
        <f t="shared" si="69"/>
        <v>0.82200000000000062</v>
      </c>
      <c r="H830" s="25">
        <f t="shared" si="67"/>
        <v>44.519272092549571</v>
      </c>
      <c r="J830">
        <f t="shared" si="68"/>
        <v>3.1916976221493467</v>
      </c>
    </row>
    <row r="831" spans="7:10" x14ac:dyDescent="0.25">
      <c r="G831">
        <f t="shared" si="69"/>
        <v>0.82300000000000062</v>
      </c>
      <c r="H831" s="25">
        <f t="shared" si="67"/>
        <v>44.566671009048619</v>
      </c>
      <c r="J831">
        <f t="shared" si="68"/>
        <v>3.1946848046273191</v>
      </c>
    </row>
    <row r="832" spans="7:10" x14ac:dyDescent="0.25">
      <c r="G832">
        <f t="shared" si="69"/>
        <v>0.82400000000000062</v>
      </c>
      <c r="H832" s="25">
        <f t="shared" si="67"/>
        <v>44.613912398370545</v>
      </c>
      <c r="J832">
        <f t="shared" si="68"/>
        <v>3.1976587209607317</v>
      </c>
    </row>
    <row r="833" spans="7:10" x14ac:dyDescent="0.25">
      <c r="G833">
        <f t="shared" si="69"/>
        <v>0.82500000000000062</v>
      </c>
      <c r="H833" s="25">
        <f t="shared" si="67"/>
        <v>44.660995746810592</v>
      </c>
      <c r="J833">
        <f t="shared" si="68"/>
        <v>3.2006193307749458</v>
      </c>
    </row>
    <row r="834" spans="7:10" x14ac:dyDescent="0.25">
      <c r="G834">
        <f t="shared" si="69"/>
        <v>0.82600000000000062</v>
      </c>
      <c r="H834" s="25">
        <f t="shared" si="67"/>
        <v>44.707920540663991</v>
      </c>
      <c r="J834">
        <f t="shared" si="68"/>
        <v>3.2035665936953213</v>
      </c>
    </row>
    <row r="835" spans="7:10" x14ac:dyDescent="0.25">
      <c r="G835">
        <f t="shared" si="69"/>
        <v>0.82700000000000062</v>
      </c>
      <c r="H835" s="25">
        <f t="shared" si="67"/>
        <v>44.754686266226003</v>
      </c>
      <c r="J835">
        <f t="shared" si="68"/>
        <v>3.2065004693472181</v>
      </c>
    </row>
    <row r="836" spans="7:10" x14ac:dyDescent="0.25">
      <c r="G836">
        <f t="shared" si="69"/>
        <v>0.82800000000000062</v>
      </c>
      <c r="H836" s="25">
        <f t="shared" si="67"/>
        <v>44.80129240979187</v>
      </c>
      <c r="J836">
        <f t="shared" si="68"/>
        <v>3.2094209173559962</v>
      </c>
    </row>
    <row r="837" spans="7:10" x14ac:dyDescent="0.25">
      <c r="G837">
        <f t="shared" si="69"/>
        <v>0.82900000000000063</v>
      </c>
      <c r="H837" s="25">
        <f t="shared" si="67"/>
        <v>44.84773845765681</v>
      </c>
      <c r="J837">
        <f t="shared" si="68"/>
        <v>3.2123278973470155</v>
      </c>
    </row>
    <row r="838" spans="7:10" x14ac:dyDescent="0.25">
      <c r="G838">
        <f t="shared" si="69"/>
        <v>0.83000000000000063</v>
      </c>
      <c r="H838" s="25">
        <f t="shared" si="67"/>
        <v>44.894023896116089</v>
      </c>
      <c r="J838">
        <f t="shared" si="68"/>
        <v>3.2152213689456359</v>
      </c>
    </row>
    <row r="839" spans="7:10" x14ac:dyDescent="0.25">
      <c r="G839">
        <f t="shared" si="69"/>
        <v>0.83100000000000063</v>
      </c>
      <c r="H839" s="25">
        <f t="shared" si="67"/>
        <v>44.940148211464944</v>
      </c>
      <c r="J839">
        <f t="shared" si="68"/>
        <v>3.2181012917772178</v>
      </c>
    </row>
    <row r="840" spans="7:10" x14ac:dyDescent="0.25">
      <c r="G840">
        <f t="shared" si="69"/>
        <v>0.83200000000000063</v>
      </c>
      <c r="H840" s="25">
        <f t="shared" ref="H840:H903" si="70">$D$8*(1-G840)^3+3*$D$9*G840*(1-G840)^2+3*$D$10*(G840)^2*(1-G840)+(G840^3*$D$11)</f>
        <v>44.986110889998606</v>
      </c>
      <c r="J840">
        <f t="shared" si="68"/>
        <v>3.2209676254671211</v>
      </c>
    </row>
    <row r="841" spans="7:10" x14ac:dyDescent="0.25">
      <c r="G841">
        <f t="shared" si="69"/>
        <v>0.83300000000000063</v>
      </c>
      <c r="H841" s="25">
        <f t="shared" si="70"/>
        <v>45.031911418012342</v>
      </c>
      <c r="J841">
        <f t="shared" ref="J841:J904" si="71">$E$8*(1-G841)^3+3*$E$9*G841*(1-G841)^2+3*$E$10*(G841)^2*(1-G841)+(G841^3*$E$11)</f>
        <v>3.2238203296407062</v>
      </c>
    </row>
    <row r="842" spans="7:10" x14ac:dyDescent="0.25">
      <c r="G842">
        <f t="shared" ref="G842:G905" si="72">G841+0.001</f>
        <v>0.83400000000000063</v>
      </c>
      <c r="H842" s="25">
        <f t="shared" si="70"/>
        <v>45.077549281801367</v>
      </c>
      <c r="J842">
        <f t="shared" si="71"/>
        <v>3.2266593639233321</v>
      </c>
    </row>
    <row r="843" spans="7:10" x14ac:dyDescent="0.25">
      <c r="G843">
        <f t="shared" si="72"/>
        <v>0.83500000000000063</v>
      </c>
      <c r="H843" s="25">
        <f t="shared" si="70"/>
        <v>45.123023967660927</v>
      </c>
      <c r="J843">
        <f t="shared" si="71"/>
        <v>3.2294846879403591</v>
      </c>
    </row>
    <row r="844" spans="7:10" x14ac:dyDescent="0.25">
      <c r="G844">
        <f t="shared" si="72"/>
        <v>0.83600000000000063</v>
      </c>
      <c r="H844" s="25">
        <f t="shared" si="70"/>
        <v>45.168334961886281</v>
      </c>
      <c r="J844">
        <f t="shared" si="71"/>
        <v>3.2322962613171491</v>
      </c>
    </row>
    <row r="845" spans="7:10" x14ac:dyDescent="0.25">
      <c r="G845">
        <f t="shared" si="72"/>
        <v>0.83700000000000063</v>
      </c>
      <c r="H845" s="25">
        <f t="shared" si="70"/>
        <v>45.213481750772658</v>
      </c>
      <c r="J845">
        <f t="shared" si="71"/>
        <v>3.2350940436790596</v>
      </c>
    </row>
    <row r="846" spans="7:10" x14ac:dyDescent="0.25">
      <c r="G846">
        <f t="shared" si="72"/>
        <v>0.83800000000000063</v>
      </c>
      <c r="H846" s="25">
        <f t="shared" si="70"/>
        <v>45.258463820615304</v>
      </c>
      <c r="J846">
        <f t="shared" si="71"/>
        <v>3.2378779946514511</v>
      </c>
    </row>
    <row r="847" spans="7:10" x14ac:dyDescent="0.25">
      <c r="G847">
        <f t="shared" si="72"/>
        <v>0.83900000000000063</v>
      </c>
      <c r="H847" s="25">
        <f t="shared" si="70"/>
        <v>45.303280657709458</v>
      </c>
      <c r="J847">
        <f t="shared" si="71"/>
        <v>3.2406480738596848</v>
      </c>
    </row>
    <row r="848" spans="7:10" x14ac:dyDescent="0.25">
      <c r="G848">
        <f t="shared" si="72"/>
        <v>0.84000000000000064</v>
      </c>
      <c r="H848" s="25">
        <f t="shared" si="70"/>
        <v>45.347931748350376</v>
      </c>
      <c r="J848">
        <f t="shared" si="71"/>
        <v>3.2434042409291202</v>
      </c>
    </row>
    <row r="849" spans="7:10" x14ac:dyDescent="0.25">
      <c r="G849">
        <f t="shared" si="72"/>
        <v>0.84100000000000064</v>
      </c>
      <c r="H849" s="25">
        <f t="shared" si="70"/>
        <v>45.392416578833284</v>
      </c>
      <c r="J849">
        <f t="shared" si="71"/>
        <v>3.2461464554851167</v>
      </c>
    </row>
    <row r="850" spans="7:10" x14ac:dyDescent="0.25">
      <c r="G850">
        <f t="shared" si="72"/>
        <v>0.84200000000000064</v>
      </c>
      <c r="H850" s="25">
        <f t="shared" si="70"/>
        <v>45.436734635453433</v>
      </c>
      <c r="J850">
        <f t="shared" si="71"/>
        <v>3.2488746771530348</v>
      </c>
    </row>
    <row r="851" spans="7:10" x14ac:dyDescent="0.25">
      <c r="G851">
        <f t="shared" si="72"/>
        <v>0.84300000000000064</v>
      </c>
      <c r="H851" s="25">
        <f t="shared" si="70"/>
        <v>45.480885404506061</v>
      </c>
      <c r="J851">
        <f t="shared" si="71"/>
        <v>3.2515888655582348</v>
      </c>
    </row>
    <row r="852" spans="7:10" x14ac:dyDescent="0.25">
      <c r="G852">
        <f t="shared" si="72"/>
        <v>0.84400000000000064</v>
      </c>
      <c r="H852" s="25">
        <f t="shared" si="70"/>
        <v>45.52486837228642</v>
      </c>
      <c r="J852">
        <f t="shared" si="71"/>
        <v>3.2542889803260771</v>
      </c>
    </row>
    <row r="853" spans="7:10" x14ac:dyDescent="0.25">
      <c r="G853">
        <f t="shared" si="72"/>
        <v>0.84500000000000064</v>
      </c>
      <c r="H853" s="25">
        <f t="shared" si="70"/>
        <v>45.568683025089733</v>
      </c>
      <c r="J853">
        <f t="shared" si="71"/>
        <v>3.2569749810819202</v>
      </c>
    </row>
    <row r="854" spans="7:10" x14ac:dyDescent="0.25">
      <c r="G854">
        <f t="shared" si="72"/>
        <v>0.84600000000000064</v>
      </c>
      <c r="H854" s="25">
        <f t="shared" si="70"/>
        <v>45.612328849211252</v>
      </c>
      <c r="J854">
        <f t="shared" si="71"/>
        <v>3.2596468274511254</v>
      </c>
    </row>
    <row r="855" spans="7:10" x14ac:dyDescent="0.25">
      <c r="G855">
        <f t="shared" si="72"/>
        <v>0.84700000000000064</v>
      </c>
      <c r="H855" s="25">
        <f t="shared" si="70"/>
        <v>45.65580533094623</v>
      </c>
      <c r="J855">
        <f t="shared" si="71"/>
        <v>3.2623044790590519</v>
      </c>
    </row>
    <row r="856" spans="7:10" x14ac:dyDescent="0.25">
      <c r="G856">
        <f t="shared" si="72"/>
        <v>0.84800000000000064</v>
      </c>
      <c r="H856" s="25">
        <f t="shared" si="70"/>
        <v>45.699111956589896</v>
      </c>
      <c r="J856">
        <f t="shared" si="71"/>
        <v>3.2649478955310602</v>
      </c>
    </row>
    <row r="857" spans="7:10" x14ac:dyDescent="0.25">
      <c r="G857">
        <f t="shared" si="72"/>
        <v>0.84900000000000064</v>
      </c>
      <c r="H857" s="25">
        <f t="shared" si="70"/>
        <v>45.742248212437502</v>
      </c>
      <c r="J857">
        <f t="shared" si="71"/>
        <v>3.2675770364925114</v>
      </c>
    </row>
    <row r="858" spans="7:10" x14ac:dyDescent="0.25">
      <c r="G858">
        <f t="shared" si="72"/>
        <v>0.85000000000000064</v>
      </c>
      <c r="H858" s="25">
        <f t="shared" si="70"/>
        <v>45.78521358478428</v>
      </c>
      <c r="J858">
        <f t="shared" si="71"/>
        <v>3.2701918615687635</v>
      </c>
    </row>
    <row r="859" spans="7:10" x14ac:dyDescent="0.25">
      <c r="G859">
        <f t="shared" si="72"/>
        <v>0.85100000000000064</v>
      </c>
      <c r="H859" s="25">
        <f t="shared" si="70"/>
        <v>45.828007559925467</v>
      </c>
      <c r="J859">
        <f t="shared" si="71"/>
        <v>3.2727923303851769</v>
      </c>
    </row>
    <row r="860" spans="7:10" x14ac:dyDescent="0.25">
      <c r="G860">
        <f t="shared" si="72"/>
        <v>0.85200000000000065</v>
      </c>
      <c r="H860" s="25">
        <f t="shared" si="70"/>
        <v>45.870629624156322</v>
      </c>
      <c r="J860">
        <f t="shared" si="71"/>
        <v>3.2753784025671129</v>
      </c>
    </row>
    <row r="861" spans="7:10" x14ac:dyDescent="0.25">
      <c r="G861">
        <f t="shared" si="72"/>
        <v>0.85300000000000065</v>
      </c>
      <c r="H861" s="25">
        <f t="shared" si="70"/>
        <v>45.91307926377209</v>
      </c>
      <c r="J861">
        <f t="shared" si="71"/>
        <v>3.2779500377399309</v>
      </c>
    </row>
    <row r="862" spans="7:10" x14ac:dyDescent="0.25">
      <c r="G862">
        <f t="shared" si="72"/>
        <v>0.85400000000000065</v>
      </c>
      <c r="H862" s="25">
        <f t="shared" si="70"/>
        <v>45.955355965067987</v>
      </c>
      <c r="J862">
        <f t="shared" si="71"/>
        <v>3.2805071955289904</v>
      </c>
    </row>
    <row r="863" spans="7:10" x14ac:dyDescent="0.25">
      <c r="G863">
        <f t="shared" si="72"/>
        <v>0.85500000000000065</v>
      </c>
      <c r="H863" s="25">
        <f t="shared" si="70"/>
        <v>45.997459214339294</v>
      </c>
      <c r="J863">
        <f t="shared" si="71"/>
        <v>3.2830498355596527</v>
      </c>
    </row>
    <row r="864" spans="7:10" x14ac:dyDescent="0.25">
      <c r="G864">
        <f t="shared" si="72"/>
        <v>0.85600000000000065</v>
      </c>
      <c r="H864" s="25">
        <f t="shared" si="70"/>
        <v>46.03938849788122</v>
      </c>
      <c r="J864">
        <f t="shared" si="71"/>
        <v>3.2855779174572763</v>
      </c>
    </row>
    <row r="865" spans="7:10" x14ac:dyDescent="0.25">
      <c r="G865">
        <f t="shared" si="72"/>
        <v>0.85700000000000065</v>
      </c>
      <c r="H865" s="25">
        <f t="shared" si="70"/>
        <v>46.081143301989016</v>
      </c>
      <c r="J865">
        <f t="shared" si="71"/>
        <v>3.2880914008472217</v>
      </c>
    </row>
    <row r="866" spans="7:10" x14ac:dyDescent="0.25">
      <c r="G866">
        <f t="shared" si="72"/>
        <v>0.85800000000000065</v>
      </c>
      <c r="H866" s="25">
        <f t="shared" si="70"/>
        <v>46.122723112957928</v>
      </c>
      <c r="J866">
        <f t="shared" si="71"/>
        <v>3.2905902453548492</v>
      </c>
    </row>
    <row r="867" spans="7:10" x14ac:dyDescent="0.25">
      <c r="G867">
        <f t="shared" si="72"/>
        <v>0.85900000000000065</v>
      </c>
      <c r="H867" s="25">
        <f t="shared" si="70"/>
        <v>46.164127417083193</v>
      </c>
      <c r="J867">
        <f t="shared" si="71"/>
        <v>3.2930744106055192</v>
      </c>
    </row>
    <row r="868" spans="7:10" x14ac:dyDescent="0.25">
      <c r="G868">
        <f t="shared" si="72"/>
        <v>0.86000000000000065</v>
      </c>
      <c r="H868" s="25">
        <f t="shared" si="70"/>
        <v>46.205355700660071</v>
      </c>
      <c r="J868">
        <f t="shared" si="71"/>
        <v>3.2955438562245911</v>
      </c>
    </row>
    <row r="869" spans="7:10" x14ac:dyDescent="0.25">
      <c r="G869">
        <f t="shared" si="72"/>
        <v>0.86100000000000065</v>
      </c>
      <c r="H869" s="25">
        <f t="shared" si="70"/>
        <v>46.246407449983778</v>
      </c>
      <c r="J869">
        <f t="shared" si="71"/>
        <v>3.2979985418374245</v>
      </c>
    </row>
    <row r="870" spans="7:10" x14ac:dyDescent="0.25">
      <c r="G870">
        <f t="shared" si="72"/>
        <v>0.86200000000000065</v>
      </c>
      <c r="H870" s="25">
        <f t="shared" si="70"/>
        <v>46.287282151349572</v>
      </c>
      <c r="J870">
        <f t="shared" si="71"/>
        <v>3.3004384270693814</v>
      </c>
    </row>
    <row r="871" spans="7:10" x14ac:dyDescent="0.25">
      <c r="G871">
        <f t="shared" si="72"/>
        <v>0.86300000000000066</v>
      </c>
      <c r="H871" s="25">
        <f t="shared" si="70"/>
        <v>46.327979291052685</v>
      </c>
      <c r="J871">
        <f t="shared" si="71"/>
        <v>3.3028634715458187</v>
      </c>
    </row>
    <row r="872" spans="7:10" x14ac:dyDescent="0.25">
      <c r="G872">
        <f t="shared" si="72"/>
        <v>0.86400000000000066</v>
      </c>
      <c r="H872" s="25">
        <f t="shared" si="70"/>
        <v>46.368498355388382</v>
      </c>
      <c r="J872">
        <f t="shared" si="71"/>
        <v>3.3052736348920995</v>
      </c>
    </row>
    <row r="873" spans="7:10" x14ac:dyDescent="0.25">
      <c r="G873">
        <f t="shared" si="72"/>
        <v>0.86500000000000066</v>
      </c>
      <c r="H873" s="25">
        <f t="shared" si="70"/>
        <v>46.408838830651888</v>
      </c>
      <c r="J873">
        <f t="shared" si="71"/>
        <v>3.3076688767335813</v>
      </c>
    </row>
    <row r="874" spans="7:10" x14ac:dyDescent="0.25">
      <c r="G874">
        <f t="shared" si="72"/>
        <v>0.86600000000000066</v>
      </c>
      <c r="H874" s="25">
        <f t="shared" si="70"/>
        <v>46.449000203138446</v>
      </c>
      <c r="J874">
        <f t="shared" si="71"/>
        <v>3.3100491566956265</v>
      </c>
    </row>
    <row r="875" spans="7:10" x14ac:dyDescent="0.25">
      <c r="G875">
        <f t="shared" si="72"/>
        <v>0.86700000000000066</v>
      </c>
      <c r="H875" s="25">
        <f t="shared" si="70"/>
        <v>46.488981959143295</v>
      </c>
      <c r="J875">
        <f t="shared" si="71"/>
        <v>3.312414434403594</v>
      </c>
    </row>
    <row r="876" spans="7:10" x14ac:dyDescent="0.25">
      <c r="G876">
        <f t="shared" si="72"/>
        <v>0.86800000000000066</v>
      </c>
      <c r="H876" s="25">
        <f t="shared" si="70"/>
        <v>46.52878358496168</v>
      </c>
      <c r="J876">
        <f t="shared" si="71"/>
        <v>3.3147646694828428</v>
      </c>
    </row>
    <row r="877" spans="7:10" x14ac:dyDescent="0.25">
      <c r="G877">
        <f t="shared" si="72"/>
        <v>0.86900000000000066</v>
      </c>
      <c r="H877" s="25">
        <f t="shared" si="70"/>
        <v>46.568404566888859</v>
      </c>
      <c r="J877">
        <f t="shared" si="71"/>
        <v>3.3170998215587351</v>
      </c>
    </row>
    <row r="878" spans="7:10" x14ac:dyDescent="0.25">
      <c r="G878">
        <f t="shared" si="72"/>
        <v>0.87000000000000066</v>
      </c>
      <c r="H878" s="25">
        <f t="shared" si="70"/>
        <v>46.607844391220034</v>
      </c>
      <c r="J878">
        <f t="shared" si="71"/>
        <v>3.3194198502566286</v>
      </c>
    </row>
    <row r="879" spans="7:10" x14ac:dyDescent="0.25">
      <c r="G879">
        <f t="shared" si="72"/>
        <v>0.87100000000000066</v>
      </c>
      <c r="H879" s="25">
        <f t="shared" si="70"/>
        <v>46.647102544250494</v>
      </c>
      <c r="J879">
        <f t="shared" si="71"/>
        <v>3.3217247152018845</v>
      </c>
    </row>
    <row r="880" spans="7:10" x14ac:dyDescent="0.25">
      <c r="G880">
        <f t="shared" si="72"/>
        <v>0.87200000000000066</v>
      </c>
      <c r="H880" s="25">
        <f t="shared" si="70"/>
        <v>46.686178512275454</v>
      </c>
      <c r="J880">
        <f t="shared" si="71"/>
        <v>3.3240143760198633</v>
      </c>
    </row>
    <row r="881" spans="7:10" x14ac:dyDescent="0.25">
      <c r="G881">
        <f t="shared" si="72"/>
        <v>0.87300000000000066</v>
      </c>
      <c r="H881" s="25">
        <f t="shared" si="70"/>
        <v>46.725071781590174</v>
      </c>
      <c r="J881">
        <f t="shared" si="71"/>
        <v>3.3262887923359243</v>
      </c>
    </row>
    <row r="882" spans="7:10" x14ac:dyDescent="0.25">
      <c r="G882">
        <f t="shared" si="72"/>
        <v>0.87400000000000067</v>
      </c>
      <c r="H882" s="25">
        <f t="shared" si="70"/>
        <v>46.763781838489876</v>
      </c>
      <c r="J882">
        <f t="shared" si="71"/>
        <v>3.3285479237754276</v>
      </c>
    </row>
    <row r="883" spans="7:10" x14ac:dyDescent="0.25">
      <c r="G883">
        <f t="shared" si="72"/>
        <v>0.87500000000000067</v>
      </c>
      <c r="H883" s="25">
        <f t="shared" si="70"/>
        <v>46.8023081692698</v>
      </c>
      <c r="J883">
        <f t="shared" si="71"/>
        <v>3.3307917299637335</v>
      </c>
    </row>
    <row r="884" spans="7:10" x14ac:dyDescent="0.25">
      <c r="G884">
        <f t="shared" si="72"/>
        <v>0.87600000000000067</v>
      </c>
      <c r="H884" s="25">
        <f t="shared" si="70"/>
        <v>46.840650260225217</v>
      </c>
      <c r="J884">
        <f t="shared" si="71"/>
        <v>3.3330201705262024</v>
      </c>
    </row>
    <row r="885" spans="7:10" x14ac:dyDescent="0.25">
      <c r="G885">
        <f t="shared" si="72"/>
        <v>0.87700000000000067</v>
      </c>
      <c r="H885" s="25">
        <f t="shared" si="70"/>
        <v>46.878807597651353</v>
      </c>
      <c r="J885">
        <f t="shared" si="71"/>
        <v>3.3352332050881928</v>
      </c>
    </row>
    <row r="886" spans="7:10" x14ac:dyDescent="0.25">
      <c r="G886">
        <f t="shared" si="72"/>
        <v>0.87800000000000067</v>
      </c>
      <c r="H886" s="25">
        <f t="shared" si="70"/>
        <v>46.916779667843443</v>
      </c>
      <c r="J886">
        <f t="shared" si="71"/>
        <v>3.337430793275066</v>
      </c>
    </row>
    <row r="887" spans="7:10" x14ac:dyDescent="0.25">
      <c r="G887">
        <f t="shared" si="72"/>
        <v>0.87900000000000067</v>
      </c>
      <c r="H887" s="25">
        <f t="shared" si="70"/>
        <v>46.954565957096733</v>
      </c>
      <c r="J887">
        <f t="shared" si="71"/>
        <v>3.3396128947121824</v>
      </c>
    </row>
    <row r="888" spans="7:10" x14ac:dyDescent="0.25">
      <c r="G888">
        <f t="shared" si="72"/>
        <v>0.88000000000000067</v>
      </c>
      <c r="H888" s="25">
        <f t="shared" si="70"/>
        <v>46.992165951706482</v>
      </c>
      <c r="J888">
        <f t="shared" si="71"/>
        <v>3.3417794690249005</v>
      </c>
    </row>
    <row r="889" spans="7:10" x14ac:dyDescent="0.25">
      <c r="G889">
        <f t="shared" si="72"/>
        <v>0.88100000000000067</v>
      </c>
      <c r="H889" s="25">
        <f t="shared" si="70"/>
        <v>47.029579137967914</v>
      </c>
      <c r="J889">
        <f t="shared" si="71"/>
        <v>3.3439304758385822</v>
      </c>
    </row>
    <row r="890" spans="7:10" x14ac:dyDescent="0.25">
      <c r="G890">
        <f t="shared" si="72"/>
        <v>0.88200000000000067</v>
      </c>
      <c r="H890" s="25">
        <f t="shared" si="70"/>
        <v>47.066805002176267</v>
      </c>
      <c r="J890">
        <f t="shared" si="71"/>
        <v>3.3460658747785859</v>
      </c>
    </row>
    <row r="891" spans="7:10" x14ac:dyDescent="0.25">
      <c r="G891">
        <f t="shared" si="72"/>
        <v>0.88300000000000067</v>
      </c>
      <c r="H891" s="25">
        <f t="shared" si="70"/>
        <v>47.103843030626791</v>
      </c>
      <c r="J891">
        <f t="shared" si="71"/>
        <v>3.3481856254702724</v>
      </c>
    </row>
    <row r="892" spans="7:10" x14ac:dyDescent="0.25">
      <c r="G892">
        <f t="shared" si="72"/>
        <v>0.88400000000000067</v>
      </c>
      <c r="H892" s="25">
        <f t="shared" si="70"/>
        <v>47.14069270961474</v>
      </c>
      <c r="J892">
        <f t="shared" si="71"/>
        <v>3.3502896875390009</v>
      </c>
    </row>
    <row r="893" spans="7:10" x14ac:dyDescent="0.25">
      <c r="G893">
        <f t="shared" si="72"/>
        <v>0.88500000000000068</v>
      </c>
      <c r="H893" s="25">
        <f t="shared" si="70"/>
        <v>47.177353525435343</v>
      </c>
      <c r="J893">
        <f t="shared" si="71"/>
        <v>3.352378020610133</v>
      </c>
    </row>
    <row r="894" spans="7:10" x14ac:dyDescent="0.25">
      <c r="G894">
        <f t="shared" si="72"/>
        <v>0.88600000000000068</v>
      </c>
      <c r="H894" s="25">
        <f t="shared" si="70"/>
        <v>47.213824964383846</v>
      </c>
      <c r="J894">
        <f t="shared" si="71"/>
        <v>3.3544505843090278</v>
      </c>
    </row>
    <row r="895" spans="7:10" x14ac:dyDescent="0.25">
      <c r="G895">
        <f t="shared" si="72"/>
        <v>0.88700000000000068</v>
      </c>
      <c r="H895" s="25">
        <f t="shared" si="70"/>
        <v>47.25010651275548</v>
      </c>
      <c r="J895">
        <f t="shared" si="71"/>
        <v>3.3565073382610446</v>
      </c>
    </row>
    <row r="896" spans="7:10" x14ac:dyDescent="0.25">
      <c r="G896">
        <f t="shared" si="72"/>
        <v>0.88800000000000068</v>
      </c>
      <c r="H896" s="25">
        <f t="shared" si="70"/>
        <v>47.286197656845509</v>
      </c>
      <c r="J896">
        <f t="shared" si="71"/>
        <v>3.3585482420915453</v>
      </c>
    </row>
    <row r="897" spans="7:10" x14ac:dyDescent="0.25">
      <c r="G897">
        <f t="shared" si="72"/>
        <v>0.88900000000000068</v>
      </c>
      <c r="H897" s="25">
        <f t="shared" si="70"/>
        <v>47.322097882949151</v>
      </c>
      <c r="J897">
        <f t="shared" si="71"/>
        <v>3.3605732554258876</v>
      </c>
    </row>
    <row r="898" spans="7:10" x14ac:dyDescent="0.25">
      <c r="G898">
        <f t="shared" si="72"/>
        <v>0.89000000000000068</v>
      </c>
      <c r="H898" s="25">
        <f t="shared" si="70"/>
        <v>47.35780667736168</v>
      </c>
      <c r="J898">
        <f t="shared" si="71"/>
        <v>3.3625823378894335</v>
      </c>
    </row>
    <row r="899" spans="7:10" x14ac:dyDescent="0.25">
      <c r="G899">
        <f t="shared" si="72"/>
        <v>0.89100000000000068</v>
      </c>
      <c r="H899" s="25">
        <f t="shared" si="70"/>
        <v>47.393323526378296</v>
      </c>
      <c r="J899">
        <f t="shared" si="71"/>
        <v>3.3645754491075417</v>
      </c>
    </row>
    <row r="900" spans="7:10" x14ac:dyDescent="0.25">
      <c r="G900">
        <f t="shared" si="72"/>
        <v>0.89200000000000068</v>
      </c>
      <c r="H900" s="25">
        <f t="shared" si="70"/>
        <v>47.428647916294288</v>
      </c>
      <c r="J900">
        <f t="shared" si="71"/>
        <v>3.3665525487055739</v>
      </c>
    </row>
    <row r="901" spans="7:10" x14ac:dyDescent="0.25">
      <c r="G901">
        <f t="shared" si="72"/>
        <v>0.89300000000000068</v>
      </c>
      <c r="H901" s="25">
        <f t="shared" si="70"/>
        <v>47.463779333404851</v>
      </c>
      <c r="J901">
        <f t="shared" si="71"/>
        <v>3.3685135963088877</v>
      </c>
    </row>
    <row r="902" spans="7:10" x14ac:dyDescent="0.25">
      <c r="G902">
        <f t="shared" si="72"/>
        <v>0.89400000000000068</v>
      </c>
      <c r="H902" s="25">
        <f t="shared" si="70"/>
        <v>47.498717264005272</v>
      </c>
      <c r="J902">
        <f t="shared" si="71"/>
        <v>3.3704585515428445</v>
      </c>
    </row>
    <row r="903" spans="7:10" x14ac:dyDescent="0.25">
      <c r="G903">
        <f t="shared" si="72"/>
        <v>0.89500000000000068</v>
      </c>
      <c r="H903" s="25">
        <f t="shared" si="70"/>
        <v>47.533461194390767</v>
      </c>
      <c r="J903">
        <f t="shared" si="71"/>
        <v>3.372387374032805</v>
      </c>
    </row>
    <row r="904" spans="7:10" x14ac:dyDescent="0.25">
      <c r="G904">
        <f t="shared" si="72"/>
        <v>0.89600000000000068</v>
      </c>
      <c r="H904" s="25">
        <f t="shared" ref="H904:H967" si="73">$D$8*(1-G904)^3+3*$D$9*G904*(1-G904)^2+3*$D$10*(G904)^2*(1-G904)+(G904^3*$D$11)</f>
        <v>47.568010610856575</v>
      </c>
      <c r="J904">
        <f t="shared" si="71"/>
        <v>3.3743000234041283</v>
      </c>
    </row>
    <row r="905" spans="7:10" x14ac:dyDescent="0.25">
      <c r="G905">
        <f t="shared" si="72"/>
        <v>0.89700000000000069</v>
      </c>
      <c r="H905" s="25">
        <f t="shared" si="73"/>
        <v>47.602364999697961</v>
      </c>
      <c r="J905">
        <f t="shared" ref="J905:J968" si="74">$E$8*(1-G905)^3+3*$E$9*G905*(1-G905)^2+3*$E$10*(G905)^2*(1-G905)+(G905^3*$E$11)</f>
        <v>3.3761964592821747</v>
      </c>
    </row>
    <row r="906" spans="7:10" x14ac:dyDescent="0.25">
      <c r="G906">
        <f t="shared" ref="G906:G969" si="75">G905+0.001</f>
        <v>0.89800000000000069</v>
      </c>
      <c r="H906" s="25">
        <f t="shared" si="73"/>
        <v>47.636523847210142</v>
      </c>
      <c r="J906">
        <f t="shared" si="74"/>
        <v>3.3780766412923038</v>
      </c>
    </row>
    <row r="907" spans="7:10" x14ac:dyDescent="0.25">
      <c r="G907">
        <f t="shared" si="75"/>
        <v>0.89900000000000069</v>
      </c>
      <c r="H907" s="25">
        <f t="shared" si="73"/>
        <v>47.670486639688377</v>
      </c>
      <c r="J907">
        <f t="shared" si="74"/>
        <v>3.3799405290598763</v>
      </c>
    </row>
    <row r="908" spans="7:10" x14ac:dyDescent="0.25">
      <c r="G908">
        <f t="shared" si="75"/>
        <v>0.90000000000000069</v>
      </c>
      <c r="H908" s="25">
        <f t="shared" si="73"/>
        <v>47.704252863427911</v>
      </c>
      <c r="J908">
        <f t="shared" si="74"/>
        <v>3.3817880822102517</v>
      </c>
    </row>
    <row r="909" spans="7:10" x14ac:dyDescent="0.25">
      <c r="G909">
        <f t="shared" si="75"/>
        <v>0.90100000000000069</v>
      </c>
      <c r="H909" s="25">
        <f t="shared" si="73"/>
        <v>47.737822004723959</v>
      </c>
      <c r="J909">
        <f t="shared" si="74"/>
        <v>3.3836192603687896</v>
      </c>
    </row>
    <row r="910" spans="7:10" x14ac:dyDescent="0.25">
      <c r="G910">
        <f t="shared" si="75"/>
        <v>0.90200000000000069</v>
      </c>
      <c r="H910" s="25">
        <f t="shared" si="73"/>
        <v>47.771193549871796</v>
      </c>
      <c r="J910">
        <f t="shared" si="74"/>
        <v>3.3854340231608515</v>
      </c>
    </row>
    <row r="911" spans="7:10" x14ac:dyDescent="0.25">
      <c r="G911">
        <f t="shared" si="75"/>
        <v>0.90300000000000069</v>
      </c>
      <c r="H911" s="25">
        <f t="shared" si="73"/>
        <v>47.804366985166652</v>
      </c>
      <c r="J911">
        <f t="shared" si="74"/>
        <v>3.3872323302117966</v>
      </c>
    </row>
    <row r="912" spans="7:10" x14ac:dyDescent="0.25">
      <c r="G912">
        <f t="shared" si="75"/>
        <v>0.90400000000000069</v>
      </c>
      <c r="H912" s="25">
        <f t="shared" si="73"/>
        <v>47.837341796903758</v>
      </c>
      <c r="J912">
        <f t="shared" si="74"/>
        <v>3.3890141411469843</v>
      </c>
    </row>
    <row r="913" spans="7:10" x14ac:dyDescent="0.25">
      <c r="G913">
        <f t="shared" si="75"/>
        <v>0.90500000000000069</v>
      </c>
      <c r="H913" s="25">
        <f t="shared" si="73"/>
        <v>47.870117471378364</v>
      </c>
      <c r="J913">
        <f t="shared" si="74"/>
        <v>3.390779415591775</v>
      </c>
    </row>
    <row r="914" spans="7:10" x14ac:dyDescent="0.25">
      <c r="G914">
        <f t="shared" si="75"/>
        <v>0.90600000000000069</v>
      </c>
      <c r="H914" s="25">
        <f t="shared" si="73"/>
        <v>47.902693494885732</v>
      </c>
      <c r="J914">
        <f t="shared" si="74"/>
        <v>3.3925281131715295</v>
      </c>
    </row>
    <row r="915" spans="7:10" x14ac:dyDescent="0.25">
      <c r="G915">
        <f t="shared" si="75"/>
        <v>0.90700000000000069</v>
      </c>
      <c r="H915" s="25">
        <f t="shared" si="73"/>
        <v>47.935069353721076</v>
      </c>
      <c r="J915">
        <f t="shared" si="74"/>
        <v>3.3942601935116072</v>
      </c>
    </row>
    <row r="916" spans="7:10" x14ac:dyDescent="0.25">
      <c r="G916">
        <f t="shared" si="75"/>
        <v>0.9080000000000007</v>
      </c>
      <c r="H916" s="25">
        <f t="shared" si="73"/>
        <v>47.967244534179656</v>
      </c>
      <c r="J916">
        <f t="shared" si="74"/>
        <v>3.3959756162373682</v>
      </c>
    </row>
    <row r="917" spans="7:10" x14ac:dyDescent="0.25">
      <c r="G917">
        <f t="shared" si="75"/>
        <v>0.9090000000000007</v>
      </c>
      <c r="H917" s="25">
        <f t="shared" si="73"/>
        <v>47.999218522556696</v>
      </c>
      <c r="J917">
        <f t="shared" si="74"/>
        <v>3.3976743409741728</v>
      </c>
    </row>
    <row r="918" spans="7:10" x14ac:dyDescent="0.25">
      <c r="G918">
        <f t="shared" si="75"/>
        <v>0.9100000000000007</v>
      </c>
      <c r="H918" s="25">
        <f t="shared" si="73"/>
        <v>48.030990805147454</v>
      </c>
      <c r="J918">
        <f t="shared" si="74"/>
        <v>3.3993563273473799</v>
      </c>
    </row>
    <row r="919" spans="7:10" x14ac:dyDescent="0.25">
      <c r="G919">
        <f t="shared" si="75"/>
        <v>0.9110000000000007</v>
      </c>
      <c r="H919" s="25">
        <f t="shared" si="73"/>
        <v>48.062560868247175</v>
      </c>
      <c r="J919">
        <f t="shared" si="74"/>
        <v>3.4010215349823505</v>
      </c>
    </row>
    <row r="920" spans="7:10" x14ac:dyDescent="0.25">
      <c r="G920">
        <f t="shared" si="75"/>
        <v>0.9120000000000007</v>
      </c>
      <c r="H920" s="25">
        <f t="shared" si="73"/>
        <v>48.09392819815109</v>
      </c>
      <c r="J920">
        <f t="shared" si="74"/>
        <v>3.4026699235044449</v>
      </c>
    </row>
    <row r="921" spans="7:10" x14ac:dyDescent="0.25">
      <c r="G921">
        <f t="shared" si="75"/>
        <v>0.9130000000000007</v>
      </c>
      <c r="H921" s="25">
        <f t="shared" si="73"/>
        <v>48.125092281154437</v>
      </c>
      <c r="J921">
        <f t="shared" si="74"/>
        <v>3.4043014525390221</v>
      </c>
    </row>
    <row r="922" spans="7:10" x14ac:dyDescent="0.25">
      <c r="G922">
        <f t="shared" si="75"/>
        <v>0.9140000000000007</v>
      </c>
      <c r="H922" s="25">
        <f t="shared" si="73"/>
        <v>48.156052603552475</v>
      </c>
      <c r="J922">
        <f t="shared" si="74"/>
        <v>3.4059160817114433</v>
      </c>
    </row>
    <row r="923" spans="7:10" x14ac:dyDescent="0.25">
      <c r="G923">
        <f t="shared" si="75"/>
        <v>0.9150000000000007</v>
      </c>
      <c r="H923" s="25">
        <f t="shared" si="73"/>
        <v>48.18680865164044</v>
      </c>
      <c r="J923">
        <f t="shared" si="74"/>
        <v>3.4075137706470682</v>
      </c>
    </row>
    <row r="924" spans="7:10" x14ac:dyDescent="0.25">
      <c r="G924">
        <f t="shared" si="75"/>
        <v>0.9160000000000007</v>
      </c>
      <c r="H924" s="25">
        <f t="shared" si="73"/>
        <v>48.217359911713572</v>
      </c>
      <c r="J924">
        <f t="shared" si="74"/>
        <v>3.4090944789712561</v>
      </c>
    </row>
    <row r="925" spans="7:10" x14ac:dyDescent="0.25">
      <c r="G925">
        <f t="shared" si="75"/>
        <v>0.9170000000000007</v>
      </c>
      <c r="H925" s="25">
        <f t="shared" si="73"/>
        <v>48.247705870067115</v>
      </c>
      <c r="J925">
        <f t="shared" si="74"/>
        <v>3.4106581663093682</v>
      </c>
    </row>
    <row r="926" spans="7:10" x14ac:dyDescent="0.25">
      <c r="G926">
        <f t="shared" si="75"/>
        <v>0.9180000000000007</v>
      </c>
      <c r="H926" s="25">
        <f t="shared" si="73"/>
        <v>48.277846012996307</v>
      </c>
      <c r="J926">
        <f t="shared" si="74"/>
        <v>3.4122047922867629</v>
      </c>
    </row>
    <row r="927" spans="7:10" x14ac:dyDescent="0.25">
      <c r="G927">
        <f t="shared" si="75"/>
        <v>0.91900000000000071</v>
      </c>
      <c r="H927" s="25">
        <f t="shared" si="73"/>
        <v>48.307779826796398</v>
      </c>
      <c r="J927">
        <f t="shared" si="74"/>
        <v>3.4137343165288017</v>
      </c>
    </row>
    <row r="928" spans="7:10" x14ac:dyDescent="0.25">
      <c r="G928">
        <f t="shared" si="75"/>
        <v>0.92000000000000071</v>
      </c>
      <c r="H928" s="25">
        <f t="shared" si="73"/>
        <v>48.337506797762614</v>
      </c>
      <c r="J928">
        <f t="shared" si="74"/>
        <v>3.4152466986608432</v>
      </c>
    </row>
    <row r="929" spans="7:10" x14ac:dyDescent="0.25">
      <c r="G929">
        <f t="shared" si="75"/>
        <v>0.92100000000000071</v>
      </c>
      <c r="H929" s="25">
        <f t="shared" si="73"/>
        <v>48.367026412190221</v>
      </c>
      <c r="J929">
        <f t="shared" si="74"/>
        <v>3.4167418983082496</v>
      </c>
    </row>
    <row r="930" spans="7:10" x14ac:dyDescent="0.25">
      <c r="G930">
        <f t="shared" si="75"/>
        <v>0.92200000000000071</v>
      </c>
      <c r="H930" s="25">
        <f t="shared" si="73"/>
        <v>48.396338156374448</v>
      </c>
      <c r="J930">
        <f t="shared" si="74"/>
        <v>3.418219875096379</v>
      </c>
    </row>
    <row r="931" spans="7:10" x14ac:dyDescent="0.25">
      <c r="G931">
        <f t="shared" si="75"/>
        <v>0.92300000000000071</v>
      </c>
      <c r="H931" s="25">
        <f t="shared" si="73"/>
        <v>48.425441516610526</v>
      </c>
      <c r="J931">
        <f t="shared" si="74"/>
        <v>3.4196805886505919</v>
      </c>
    </row>
    <row r="932" spans="7:10" x14ac:dyDescent="0.25">
      <c r="G932">
        <f t="shared" si="75"/>
        <v>0.92400000000000071</v>
      </c>
      <c r="H932" s="25">
        <f t="shared" si="73"/>
        <v>48.454335979193722</v>
      </c>
      <c r="J932">
        <f t="shared" si="74"/>
        <v>3.4211239985962489</v>
      </c>
    </row>
    <row r="933" spans="7:10" x14ac:dyDescent="0.25">
      <c r="G933">
        <f t="shared" si="75"/>
        <v>0.92500000000000071</v>
      </c>
      <c r="H933" s="25">
        <f t="shared" si="73"/>
        <v>48.483021030419266</v>
      </c>
      <c r="J933">
        <f t="shared" si="74"/>
        <v>3.4225500645587097</v>
      </c>
    </row>
    <row r="934" spans="7:10" x14ac:dyDescent="0.25">
      <c r="G934">
        <f t="shared" si="75"/>
        <v>0.92600000000000071</v>
      </c>
      <c r="H934" s="25">
        <f t="shared" si="73"/>
        <v>48.511496156582389</v>
      </c>
      <c r="J934">
        <f t="shared" si="74"/>
        <v>3.4239587461633336</v>
      </c>
    </row>
    <row r="935" spans="7:10" x14ac:dyDescent="0.25">
      <c r="G935">
        <f t="shared" si="75"/>
        <v>0.92700000000000071</v>
      </c>
      <c r="H935" s="25">
        <f t="shared" si="73"/>
        <v>48.539760843978364</v>
      </c>
      <c r="J935">
        <f t="shared" si="74"/>
        <v>3.4253500030354815</v>
      </c>
    </row>
    <row r="936" spans="7:10" x14ac:dyDescent="0.25">
      <c r="G936">
        <f t="shared" si="75"/>
        <v>0.92800000000000071</v>
      </c>
      <c r="H936" s="25">
        <f t="shared" si="73"/>
        <v>48.5678145789024</v>
      </c>
      <c r="J936">
        <f t="shared" si="74"/>
        <v>3.4267237948005134</v>
      </c>
    </row>
    <row r="937" spans="7:10" x14ac:dyDescent="0.25">
      <c r="G937">
        <f t="shared" si="75"/>
        <v>0.92900000000000071</v>
      </c>
      <c r="H937" s="25">
        <f t="shared" si="73"/>
        <v>48.595656847649749</v>
      </c>
      <c r="J937">
        <f t="shared" si="74"/>
        <v>3.428080081083789</v>
      </c>
    </row>
    <row r="938" spans="7:10" x14ac:dyDescent="0.25">
      <c r="G938">
        <f t="shared" si="75"/>
        <v>0.93000000000000071</v>
      </c>
      <c r="H938" s="25">
        <f t="shared" si="73"/>
        <v>48.623287136515671</v>
      </c>
      <c r="J938">
        <f t="shared" si="74"/>
        <v>3.4294188215106689</v>
      </c>
    </row>
    <row r="939" spans="7:10" x14ac:dyDescent="0.25">
      <c r="G939">
        <f t="shared" si="75"/>
        <v>0.93100000000000072</v>
      </c>
      <c r="H939" s="25">
        <f t="shared" si="73"/>
        <v>48.650704931795389</v>
      </c>
      <c r="J939">
        <f t="shared" si="74"/>
        <v>3.430739975706512</v>
      </c>
    </row>
    <row r="940" spans="7:10" x14ac:dyDescent="0.25">
      <c r="G940">
        <f t="shared" si="75"/>
        <v>0.93200000000000072</v>
      </c>
      <c r="H940" s="25">
        <f t="shared" si="73"/>
        <v>48.677909719784139</v>
      </c>
      <c r="J940">
        <f t="shared" si="74"/>
        <v>3.4320435032966787</v>
      </c>
    </row>
    <row r="941" spans="7:10" x14ac:dyDescent="0.25">
      <c r="G941">
        <f t="shared" si="75"/>
        <v>0.93300000000000072</v>
      </c>
      <c r="H941" s="25">
        <f t="shared" si="73"/>
        <v>48.70490098677719</v>
      </c>
      <c r="J941">
        <f t="shared" si="74"/>
        <v>3.4333293639065303</v>
      </c>
    </row>
    <row r="942" spans="7:10" x14ac:dyDescent="0.25">
      <c r="G942">
        <f t="shared" si="75"/>
        <v>0.93400000000000072</v>
      </c>
      <c r="H942" s="25">
        <f t="shared" si="73"/>
        <v>48.731678219069771</v>
      </c>
      <c r="J942">
        <f t="shared" si="74"/>
        <v>3.4345975171614254</v>
      </c>
    </row>
    <row r="943" spans="7:10" x14ac:dyDescent="0.25">
      <c r="G943">
        <f t="shared" si="75"/>
        <v>0.93500000000000072</v>
      </c>
      <c r="H943" s="25">
        <f t="shared" si="73"/>
        <v>48.758240902957127</v>
      </c>
      <c r="J943">
        <f t="shared" si="74"/>
        <v>3.4358479226867247</v>
      </c>
    </row>
    <row r="944" spans="7:10" x14ac:dyDescent="0.25">
      <c r="G944">
        <f t="shared" si="75"/>
        <v>0.93600000000000072</v>
      </c>
      <c r="H944" s="25">
        <f t="shared" si="73"/>
        <v>48.784588524734481</v>
      </c>
      <c r="J944">
        <f t="shared" si="74"/>
        <v>3.4370805401077869</v>
      </c>
    </row>
    <row r="945" spans="7:10" x14ac:dyDescent="0.25">
      <c r="G945">
        <f t="shared" si="75"/>
        <v>0.93700000000000072</v>
      </c>
      <c r="H945" s="25">
        <f t="shared" si="73"/>
        <v>48.8107205706971</v>
      </c>
      <c r="J945">
        <f t="shared" si="74"/>
        <v>3.438295329049974</v>
      </c>
    </row>
    <row r="946" spans="7:10" x14ac:dyDescent="0.25">
      <c r="G946">
        <f t="shared" si="75"/>
        <v>0.93800000000000072</v>
      </c>
      <c r="H946" s="25">
        <f t="shared" si="73"/>
        <v>48.836636527140215</v>
      </c>
      <c r="J946">
        <f t="shared" si="74"/>
        <v>3.4394922491386453</v>
      </c>
    </row>
    <row r="947" spans="7:10" x14ac:dyDescent="0.25">
      <c r="G947">
        <f t="shared" si="75"/>
        <v>0.93900000000000072</v>
      </c>
      <c r="H947" s="25">
        <f t="shared" si="73"/>
        <v>48.862335880359069</v>
      </c>
      <c r="J947">
        <f t="shared" si="74"/>
        <v>3.44067125999916</v>
      </c>
    </row>
    <row r="948" spans="7:10" x14ac:dyDescent="0.25">
      <c r="G948">
        <f t="shared" si="75"/>
        <v>0.94000000000000072</v>
      </c>
      <c r="H948" s="25">
        <f t="shared" si="73"/>
        <v>48.887818116648909</v>
      </c>
      <c r="J948">
        <f t="shared" si="74"/>
        <v>3.4418323212568795</v>
      </c>
    </row>
    <row r="949" spans="7:10" x14ac:dyDescent="0.25">
      <c r="G949">
        <f t="shared" si="75"/>
        <v>0.94100000000000072</v>
      </c>
      <c r="H949" s="25">
        <f t="shared" si="73"/>
        <v>48.913082722304964</v>
      </c>
      <c r="J949">
        <f t="shared" si="74"/>
        <v>3.4429753925371633</v>
      </c>
    </row>
    <row r="950" spans="7:10" x14ac:dyDescent="0.25">
      <c r="G950">
        <f t="shared" si="75"/>
        <v>0.94200000000000073</v>
      </c>
      <c r="H950" s="25">
        <f t="shared" si="73"/>
        <v>48.938129183622486</v>
      </c>
      <c r="J950">
        <f t="shared" si="74"/>
        <v>3.44410043346537</v>
      </c>
    </row>
    <row r="951" spans="7:10" x14ac:dyDescent="0.25">
      <c r="G951">
        <f t="shared" si="75"/>
        <v>0.94300000000000073</v>
      </c>
      <c r="H951" s="25">
        <f t="shared" si="73"/>
        <v>48.962956986896728</v>
      </c>
      <c r="J951">
        <f t="shared" si="74"/>
        <v>3.4452074036668616</v>
      </c>
    </row>
    <row r="952" spans="7:10" x14ac:dyDescent="0.25">
      <c r="G952">
        <f t="shared" si="75"/>
        <v>0.94400000000000073</v>
      </c>
      <c r="H952" s="25">
        <f t="shared" si="73"/>
        <v>48.98756561842292</v>
      </c>
      <c r="J952">
        <f t="shared" si="74"/>
        <v>3.4462962627669977</v>
      </c>
    </row>
    <row r="953" spans="7:10" x14ac:dyDescent="0.25">
      <c r="G953">
        <f t="shared" si="75"/>
        <v>0.94500000000000073</v>
      </c>
      <c r="H953" s="25">
        <f t="shared" si="73"/>
        <v>49.0119545644963</v>
      </c>
      <c r="J953">
        <f t="shared" si="74"/>
        <v>3.4473669703911374</v>
      </c>
    </row>
    <row r="954" spans="7:10" x14ac:dyDescent="0.25">
      <c r="G954">
        <f t="shared" si="75"/>
        <v>0.94600000000000073</v>
      </c>
      <c r="H954" s="25">
        <f t="shared" si="73"/>
        <v>49.036123311412119</v>
      </c>
      <c r="J954">
        <f t="shared" si="74"/>
        <v>3.4484194861646418</v>
      </c>
    </row>
    <row r="955" spans="7:10" x14ac:dyDescent="0.25">
      <c r="G955">
        <f t="shared" si="75"/>
        <v>0.94700000000000073</v>
      </c>
      <c r="H955" s="25">
        <f t="shared" si="73"/>
        <v>49.060071345465616</v>
      </c>
      <c r="J955">
        <f t="shared" si="74"/>
        <v>3.4494537697128704</v>
      </c>
    </row>
    <row r="956" spans="7:10" x14ac:dyDescent="0.25">
      <c r="G956">
        <f t="shared" si="75"/>
        <v>0.94800000000000073</v>
      </c>
      <c r="H956" s="25">
        <f t="shared" si="73"/>
        <v>49.083798152952028</v>
      </c>
      <c r="J956">
        <f t="shared" si="74"/>
        <v>3.4504697806611833</v>
      </c>
    </row>
    <row r="957" spans="7:10" x14ac:dyDescent="0.25">
      <c r="G957">
        <f t="shared" si="75"/>
        <v>0.94900000000000073</v>
      </c>
      <c r="H957" s="25">
        <f t="shared" si="73"/>
        <v>49.107303220166614</v>
      </c>
      <c r="J957">
        <f t="shared" si="74"/>
        <v>3.4514674786349406</v>
      </c>
    </row>
    <row r="958" spans="7:10" x14ac:dyDescent="0.25">
      <c r="G958">
        <f t="shared" si="75"/>
        <v>0.95000000000000073</v>
      </c>
      <c r="H958" s="25">
        <f t="shared" si="73"/>
        <v>49.130586033404597</v>
      </c>
      <c r="J958">
        <f t="shared" si="74"/>
        <v>3.4524468232595016</v>
      </c>
    </row>
    <row r="959" spans="7:10" x14ac:dyDescent="0.25">
      <c r="G959">
        <f t="shared" si="75"/>
        <v>0.95100000000000073</v>
      </c>
      <c r="H959" s="25">
        <f t="shared" si="73"/>
        <v>49.153646078961224</v>
      </c>
      <c r="J959">
        <f t="shared" si="74"/>
        <v>3.4534077741602269</v>
      </c>
    </row>
    <row r="960" spans="7:10" x14ac:dyDescent="0.25">
      <c r="G960">
        <f t="shared" si="75"/>
        <v>0.95200000000000073</v>
      </c>
      <c r="H960" s="25">
        <f t="shared" si="73"/>
        <v>49.176482843131758</v>
      </c>
      <c r="J960">
        <f t="shared" si="74"/>
        <v>3.4543502909624779</v>
      </c>
    </row>
    <row r="961" spans="7:10" x14ac:dyDescent="0.25">
      <c r="G961">
        <f t="shared" si="75"/>
        <v>0.95300000000000074</v>
      </c>
      <c r="H961" s="25">
        <f t="shared" si="73"/>
        <v>49.199095812211411</v>
      </c>
      <c r="J961">
        <f t="shared" si="74"/>
        <v>3.4552743332916123</v>
      </c>
    </row>
    <row r="962" spans="7:10" x14ac:dyDescent="0.25">
      <c r="G962">
        <f t="shared" si="75"/>
        <v>0.95400000000000074</v>
      </c>
      <c r="H962" s="25">
        <f t="shared" si="73"/>
        <v>49.221484472495433</v>
      </c>
      <c r="J962">
        <f t="shared" si="74"/>
        <v>3.4561798607729908</v>
      </c>
    </row>
    <row r="963" spans="7:10" x14ac:dyDescent="0.25">
      <c r="G963">
        <f t="shared" si="75"/>
        <v>0.95500000000000074</v>
      </c>
      <c r="H963" s="25">
        <f t="shared" si="73"/>
        <v>49.243648310279085</v>
      </c>
      <c r="J963">
        <f t="shared" si="74"/>
        <v>3.4570668330319747</v>
      </c>
    </row>
    <row r="964" spans="7:10" x14ac:dyDescent="0.25">
      <c r="G964">
        <f t="shared" si="75"/>
        <v>0.95600000000000074</v>
      </c>
      <c r="H964" s="25">
        <f t="shared" si="73"/>
        <v>49.265586811857588</v>
      </c>
      <c r="J964">
        <f t="shared" si="74"/>
        <v>3.4579352096939227</v>
      </c>
    </row>
    <row r="965" spans="7:10" x14ac:dyDescent="0.25">
      <c r="G965">
        <f t="shared" si="75"/>
        <v>0.95700000000000074</v>
      </c>
      <c r="H965" s="25">
        <f t="shared" si="73"/>
        <v>49.287299463526196</v>
      </c>
      <c r="J965">
        <f t="shared" si="74"/>
        <v>3.4587849503841954</v>
      </c>
    </row>
    <row r="966" spans="7:10" x14ac:dyDescent="0.25">
      <c r="G966">
        <f t="shared" si="75"/>
        <v>0.95800000000000074</v>
      </c>
      <c r="H966" s="25">
        <f t="shared" si="73"/>
        <v>49.308785751580146</v>
      </c>
      <c r="J966">
        <f t="shared" si="74"/>
        <v>3.4596160147281525</v>
      </c>
    </row>
    <row r="967" spans="7:10" x14ac:dyDescent="0.25">
      <c r="G967">
        <f t="shared" si="75"/>
        <v>0.95900000000000074</v>
      </c>
      <c r="H967" s="25">
        <f t="shared" si="73"/>
        <v>49.330045162314676</v>
      </c>
      <c r="J967">
        <f t="shared" si="74"/>
        <v>3.4604283623511543</v>
      </c>
    </row>
    <row r="968" spans="7:10" x14ac:dyDescent="0.25">
      <c r="G968">
        <f t="shared" si="75"/>
        <v>0.96000000000000074</v>
      </c>
      <c r="H968" s="25">
        <f t="shared" ref="H968:H1008" si="76">$D$8*(1-G968)^3+3*$D$9*G968*(1-G968)^2+3*$D$10*(G968)^2*(1-G968)+(G968^3*$D$11)</f>
        <v>49.351077182025037</v>
      </c>
      <c r="J968">
        <f t="shared" si="74"/>
        <v>3.4612219528785606</v>
      </c>
    </row>
    <row r="969" spans="7:10" x14ac:dyDescent="0.25">
      <c r="G969">
        <f t="shared" si="75"/>
        <v>0.96100000000000074</v>
      </c>
      <c r="H969" s="25">
        <f t="shared" si="76"/>
        <v>49.371881297006482</v>
      </c>
      <c r="J969">
        <f t="shared" ref="J969:J1008" si="77">$E$8*(1-G969)^3+3*$E$9*G969*(1-G969)^2+3*$E$10*(G969)^2*(1-G969)+(G969^3*$E$11)</f>
        <v>3.461996745935731</v>
      </c>
    </row>
    <row r="970" spans="7:10" x14ac:dyDescent="0.25">
      <c r="G970">
        <f t="shared" ref="G970:G1008" si="78">G969+0.001</f>
        <v>0.96200000000000074</v>
      </c>
      <c r="H970" s="25">
        <f t="shared" si="76"/>
        <v>49.392456993554219</v>
      </c>
      <c r="J970">
        <f t="shared" si="77"/>
        <v>3.4627527011480268</v>
      </c>
    </row>
    <row r="971" spans="7:10" x14ac:dyDescent="0.25">
      <c r="G971">
        <f t="shared" si="78"/>
        <v>0.96300000000000074</v>
      </c>
      <c r="H971" s="25">
        <f t="shared" si="76"/>
        <v>49.412803757963516</v>
      </c>
      <c r="J971">
        <f t="shared" si="77"/>
        <v>3.4634897781408065</v>
      </c>
    </row>
    <row r="972" spans="7:10" x14ac:dyDescent="0.25">
      <c r="G972">
        <f t="shared" si="78"/>
        <v>0.96400000000000075</v>
      </c>
      <c r="H972" s="25">
        <f t="shared" si="76"/>
        <v>49.432921076529624</v>
      </c>
      <c r="J972">
        <f t="shared" si="77"/>
        <v>3.4642079365394318</v>
      </c>
    </row>
    <row r="973" spans="7:10" x14ac:dyDescent="0.25">
      <c r="G973">
        <f t="shared" si="78"/>
        <v>0.96500000000000075</v>
      </c>
      <c r="H973" s="25">
        <f t="shared" si="76"/>
        <v>49.452808435547759</v>
      </c>
      <c r="J973">
        <f t="shared" si="77"/>
        <v>3.4649071359692614</v>
      </c>
    </row>
    <row r="974" spans="7:10" x14ac:dyDescent="0.25">
      <c r="G974">
        <f t="shared" si="78"/>
        <v>0.96600000000000075</v>
      </c>
      <c r="H974" s="25">
        <f t="shared" si="76"/>
        <v>49.47246532131318</v>
      </c>
      <c r="J974">
        <f t="shared" si="77"/>
        <v>3.4655873360556555</v>
      </c>
    </row>
    <row r="975" spans="7:10" x14ac:dyDescent="0.25">
      <c r="G975">
        <f t="shared" si="78"/>
        <v>0.96700000000000075</v>
      </c>
      <c r="H975" s="25">
        <f t="shared" si="76"/>
        <v>49.491891220121119</v>
      </c>
      <c r="J975">
        <f t="shared" si="77"/>
        <v>3.4662484964239741</v>
      </c>
    </row>
    <row r="976" spans="7:10" x14ac:dyDescent="0.25">
      <c r="G976">
        <f t="shared" si="78"/>
        <v>0.96800000000000075</v>
      </c>
      <c r="H976" s="25">
        <f t="shared" si="76"/>
        <v>49.511085618266826</v>
      </c>
      <c r="J976">
        <f t="shared" si="77"/>
        <v>3.4668905766995777</v>
      </c>
    </row>
    <row r="977" spans="7:10" x14ac:dyDescent="0.25">
      <c r="G977">
        <f t="shared" si="78"/>
        <v>0.96900000000000075</v>
      </c>
      <c r="H977" s="25">
        <f t="shared" si="76"/>
        <v>49.530048002045547</v>
      </c>
      <c r="J977">
        <f t="shared" si="77"/>
        <v>3.4675135365078269</v>
      </c>
    </row>
    <row r="978" spans="7:10" x14ac:dyDescent="0.25">
      <c r="G978">
        <f t="shared" si="78"/>
        <v>0.97000000000000075</v>
      </c>
      <c r="H978" s="25">
        <f t="shared" si="76"/>
        <v>49.548777857752512</v>
      </c>
      <c r="J978">
        <f t="shared" si="77"/>
        <v>3.4681173354740804</v>
      </c>
    </row>
    <row r="979" spans="7:10" x14ac:dyDescent="0.25">
      <c r="G979">
        <f t="shared" si="78"/>
        <v>0.97100000000000075</v>
      </c>
      <c r="H979" s="25">
        <f t="shared" si="76"/>
        <v>49.567274671682981</v>
      </c>
      <c r="J979">
        <f t="shared" si="77"/>
        <v>3.468701933223699</v>
      </c>
    </row>
    <row r="980" spans="7:10" x14ac:dyDescent="0.25">
      <c r="G980">
        <f t="shared" si="78"/>
        <v>0.97200000000000075</v>
      </c>
      <c r="H980" s="25">
        <f t="shared" si="76"/>
        <v>49.585537930132176</v>
      </c>
      <c r="J980">
        <f t="shared" si="77"/>
        <v>3.4692672893820422</v>
      </c>
    </row>
    <row r="981" spans="7:10" x14ac:dyDescent="0.25">
      <c r="G981">
        <f t="shared" si="78"/>
        <v>0.97300000000000075</v>
      </c>
      <c r="H981" s="25">
        <f t="shared" si="76"/>
        <v>49.603567119395358</v>
      </c>
      <c r="J981">
        <f t="shared" si="77"/>
        <v>3.4698133635744708</v>
      </c>
    </row>
    <row r="982" spans="7:10" x14ac:dyDescent="0.25">
      <c r="G982">
        <f t="shared" si="78"/>
        <v>0.97400000000000075</v>
      </c>
      <c r="H982" s="25">
        <f t="shared" si="76"/>
        <v>49.621361725767756</v>
      </c>
      <c r="J982">
        <f t="shared" si="77"/>
        <v>3.4703401154263438</v>
      </c>
    </row>
    <row r="983" spans="7:10" x14ac:dyDescent="0.25">
      <c r="G983">
        <f t="shared" si="78"/>
        <v>0.97500000000000075</v>
      </c>
      <c r="H983" s="25">
        <f t="shared" si="76"/>
        <v>49.638921235544615</v>
      </c>
      <c r="J983">
        <f t="shared" si="77"/>
        <v>3.4708475045630216</v>
      </c>
    </row>
    <row r="984" spans="7:10" x14ac:dyDescent="0.25">
      <c r="G984">
        <f t="shared" si="78"/>
        <v>0.97600000000000076</v>
      </c>
      <c r="H984" s="25">
        <f t="shared" si="76"/>
        <v>49.656245135021166</v>
      </c>
      <c r="J984">
        <f t="shared" si="77"/>
        <v>3.4713354906098641</v>
      </c>
    </row>
    <row r="985" spans="7:10" x14ac:dyDescent="0.25">
      <c r="G985">
        <f t="shared" si="78"/>
        <v>0.97700000000000076</v>
      </c>
      <c r="H985" s="25">
        <f t="shared" si="76"/>
        <v>49.673332910492682</v>
      </c>
      <c r="J985">
        <f t="shared" si="77"/>
        <v>3.4718040331922326</v>
      </c>
    </row>
    <row r="986" spans="7:10" x14ac:dyDescent="0.25">
      <c r="G986">
        <f t="shared" si="78"/>
        <v>0.97800000000000076</v>
      </c>
      <c r="H986" s="25">
        <f t="shared" si="76"/>
        <v>49.69018404825438</v>
      </c>
      <c r="J986">
        <f t="shared" si="77"/>
        <v>3.4722530919354857</v>
      </c>
    </row>
    <row r="987" spans="7:10" x14ac:dyDescent="0.25">
      <c r="G987">
        <f t="shared" si="78"/>
        <v>0.97900000000000076</v>
      </c>
      <c r="H987" s="25">
        <f t="shared" si="76"/>
        <v>49.706798034601512</v>
      </c>
      <c r="J987">
        <f t="shared" si="77"/>
        <v>3.4726826264649842</v>
      </c>
    </row>
    <row r="988" spans="7:10" x14ac:dyDescent="0.25">
      <c r="G988">
        <f t="shared" si="78"/>
        <v>0.98000000000000076</v>
      </c>
      <c r="H988" s="25">
        <f t="shared" si="76"/>
        <v>49.723174355829315</v>
      </c>
      <c r="J988">
        <f t="shared" si="77"/>
        <v>3.4730925964060875</v>
      </c>
    </row>
    <row r="989" spans="7:10" x14ac:dyDescent="0.25">
      <c r="G989">
        <f t="shared" si="78"/>
        <v>0.98100000000000076</v>
      </c>
      <c r="H989" s="25">
        <f t="shared" si="76"/>
        <v>49.739312498233033</v>
      </c>
      <c r="J989">
        <f t="shared" si="77"/>
        <v>3.473482961384156</v>
      </c>
    </row>
    <row r="990" spans="7:10" x14ac:dyDescent="0.25">
      <c r="G990">
        <f t="shared" si="78"/>
        <v>0.98200000000000076</v>
      </c>
      <c r="H990" s="25">
        <f t="shared" si="76"/>
        <v>49.75521194810792</v>
      </c>
      <c r="J990">
        <f t="shared" si="77"/>
        <v>3.4738536810245493</v>
      </c>
    </row>
    <row r="991" spans="7:10" x14ac:dyDescent="0.25">
      <c r="G991">
        <f t="shared" si="78"/>
        <v>0.98300000000000076</v>
      </c>
      <c r="H991" s="25">
        <f t="shared" si="76"/>
        <v>49.770872191749191</v>
      </c>
      <c r="J991">
        <f t="shared" si="77"/>
        <v>3.4742047149526281</v>
      </c>
    </row>
    <row r="992" spans="7:10" x14ac:dyDescent="0.25">
      <c r="G992">
        <f t="shared" si="78"/>
        <v>0.98400000000000076</v>
      </c>
      <c r="H992" s="25">
        <f t="shared" si="76"/>
        <v>49.78629271545212</v>
      </c>
      <c r="J992">
        <f t="shared" si="77"/>
        <v>3.4745360227937518</v>
      </c>
    </row>
    <row r="993" spans="7:10" x14ac:dyDescent="0.25">
      <c r="G993">
        <f t="shared" si="78"/>
        <v>0.98500000000000076</v>
      </c>
      <c r="H993" s="25">
        <f t="shared" si="76"/>
        <v>49.801473005511923</v>
      </c>
      <c r="J993">
        <f t="shared" si="77"/>
        <v>3.4748475641732814</v>
      </c>
    </row>
    <row r="994" spans="7:10" x14ac:dyDescent="0.25">
      <c r="G994">
        <f t="shared" si="78"/>
        <v>0.98600000000000076</v>
      </c>
      <c r="H994" s="25">
        <f t="shared" si="76"/>
        <v>49.816412548223859</v>
      </c>
      <c r="J994">
        <f t="shared" si="77"/>
        <v>3.4751392987165755</v>
      </c>
    </row>
    <row r="995" spans="7:10" x14ac:dyDescent="0.25">
      <c r="G995">
        <f t="shared" si="78"/>
        <v>0.98700000000000077</v>
      </c>
      <c r="H995" s="25">
        <f t="shared" si="76"/>
        <v>49.831110829883166</v>
      </c>
      <c r="J995">
        <f t="shared" si="77"/>
        <v>3.4754111860489951</v>
      </c>
    </row>
    <row r="996" spans="7:10" x14ac:dyDescent="0.25">
      <c r="G996">
        <f t="shared" si="78"/>
        <v>0.98800000000000077</v>
      </c>
      <c r="H996" s="25">
        <f t="shared" si="76"/>
        <v>49.845567336785081</v>
      </c>
      <c r="J996">
        <f t="shared" si="77"/>
        <v>3.4756631857959008</v>
      </c>
    </row>
    <row r="997" spans="7:10" x14ac:dyDescent="0.25">
      <c r="G997">
        <f t="shared" si="78"/>
        <v>0.98900000000000077</v>
      </c>
      <c r="H997" s="25">
        <f t="shared" si="76"/>
        <v>49.859781555224849</v>
      </c>
      <c r="J997">
        <f t="shared" si="77"/>
        <v>3.4758952575826507</v>
      </c>
    </row>
    <row r="998" spans="7:10" x14ac:dyDescent="0.25">
      <c r="G998">
        <f t="shared" si="78"/>
        <v>0.99000000000000077</v>
      </c>
      <c r="H998" s="25">
        <f t="shared" si="76"/>
        <v>49.873752971497716</v>
      </c>
      <c r="J998">
        <f t="shared" si="77"/>
        <v>3.4761073610346065</v>
      </c>
    </row>
    <row r="999" spans="7:10" x14ac:dyDescent="0.25">
      <c r="G999">
        <f t="shared" si="78"/>
        <v>0.99100000000000077</v>
      </c>
      <c r="H999" s="25">
        <f t="shared" si="76"/>
        <v>49.887481071898925</v>
      </c>
      <c r="J999">
        <f t="shared" si="77"/>
        <v>3.4762994557771276</v>
      </c>
    </row>
    <row r="1000" spans="7:10" x14ac:dyDescent="0.25">
      <c r="G1000">
        <f t="shared" si="78"/>
        <v>0.99200000000000077</v>
      </c>
      <c r="H1000" s="25">
        <f t="shared" si="76"/>
        <v>49.900965342723708</v>
      </c>
      <c r="J1000">
        <f t="shared" si="77"/>
        <v>3.4764715014355736</v>
      </c>
    </row>
    <row r="1001" spans="7:10" x14ac:dyDescent="0.25">
      <c r="G1001">
        <f t="shared" si="78"/>
        <v>0.99300000000000077</v>
      </c>
      <c r="H1001" s="25">
        <f t="shared" si="76"/>
        <v>49.914205270267324</v>
      </c>
      <c r="J1001">
        <f t="shared" si="77"/>
        <v>3.4766234576353057</v>
      </c>
    </row>
    <row r="1002" spans="7:10" x14ac:dyDescent="0.25">
      <c r="G1002">
        <f t="shared" si="78"/>
        <v>0.99400000000000077</v>
      </c>
      <c r="H1002" s="25">
        <f t="shared" si="76"/>
        <v>49.927200340825003</v>
      </c>
      <c r="J1002">
        <f t="shared" si="77"/>
        <v>3.4767552840016829</v>
      </c>
    </row>
    <row r="1003" spans="7:10" x14ac:dyDescent="0.25">
      <c r="G1003">
        <f t="shared" si="78"/>
        <v>0.99500000000000077</v>
      </c>
      <c r="H1003" s="25">
        <f t="shared" si="76"/>
        <v>49.939950040691983</v>
      </c>
      <c r="J1003">
        <f t="shared" si="77"/>
        <v>3.4768669401600656</v>
      </c>
    </row>
    <row r="1004" spans="7:10" x14ac:dyDescent="0.25">
      <c r="G1004">
        <f t="shared" si="78"/>
        <v>0.99600000000000077</v>
      </c>
      <c r="H1004" s="25">
        <f t="shared" si="76"/>
        <v>49.952453856163515</v>
      </c>
      <c r="J1004">
        <f t="shared" si="77"/>
        <v>3.4769583857358137</v>
      </c>
    </row>
    <row r="1005" spans="7:10" x14ac:dyDescent="0.25">
      <c r="G1005">
        <f t="shared" si="78"/>
        <v>0.99700000000000077</v>
      </c>
      <c r="H1005" s="25">
        <f t="shared" si="76"/>
        <v>49.964711273534846</v>
      </c>
      <c r="J1005">
        <f t="shared" si="77"/>
        <v>3.4770295803542877</v>
      </c>
    </row>
    <row r="1006" spans="7:10" x14ac:dyDescent="0.25">
      <c r="G1006">
        <f t="shared" si="78"/>
        <v>0.99800000000000078</v>
      </c>
      <c r="H1006" s="25">
        <f t="shared" si="76"/>
        <v>49.976721779101211</v>
      </c>
      <c r="J1006">
        <f t="shared" si="77"/>
        <v>3.4770804836408473</v>
      </c>
    </row>
    <row r="1007" spans="7:10" x14ac:dyDescent="0.25">
      <c r="G1007">
        <f t="shared" si="78"/>
        <v>0.99900000000000078</v>
      </c>
      <c r="H1007" s="25">
        <f t="shared" si="76"/>
        <v>49.98848485915785</v>
      </c>
      <c r="J1007">
        <f t="shared" si="77"/>
        <v>3.4771110552208522</v>
      </c>
    </row>
    <row r="1008" spans="7:10" x14ac:dyDescent="0.25">
      <c r="G1008">
        <f t="shared" si="78"/>
        <v>1.0000000000000007</v>
      </c>
      <c r="H1008" s="25">
        <f t="shared" si="76"/>
        <v>50.000000000000007</v>
      </c>
      <c r="J1008">
        <f t="shared" si="77"/>
        <v>3.4771212547196626</v>
      </c>
    </row>
    <row r="1009" spans="1:10" x14ac:dyDescent="0.25">
      <c r="A1009" s="44" t="s">
        <v>29</v>
      </c>
      <c r="B1009" s="44"/>
      <c r="C1009" s="44"/>
      <c r="D1009" s="44"/>
      <c r="E1009" s="44"/>
      <c r="F1009" s="44"/>
      <c r="G1009" s="44"/>
      <c r="H1009" s="25">
        <f>H1008+1</f>
        <v>51.000000000000007</v>
      </c>
      <c r="J1009">
        <f>J1008</f>
        <v>3.4771212547196626</v>
      </c>
    </row>
    <row r="1010" spans="1:10" x14ac:dyDescent="0.25">
      <c r="H1010" s="25">
        <f t="shared" ref="H1010:H1023" si="79">H1009+1</f>
        <v>52.000000000000007</v>
      </c>
      <c r="J1010">
        <f t="shared" ref="J1010:J1023" si="80">J1009</f>
        <v>3.4771212547196626</v>
      </c>
    </row>
    <row r="1011" spans="1:10" x14ac:dyDescent="0.25">
      <c r="H1011" s="25">
        <f t="shared" si="79"/>
        <v>53.000000000000007</v>
      </c>
      <c r="J1011">
        <f t="shared" si="80"/>
        <v>3.4771212547196626</v>
      </c>
    </row>
    <row r="1012" spans="1:10" x14ac:dyDescent="0.25">
      <c r="H1012" s="25">
        <f t="shared" si="79"/>
        <v>54.000000000000007</v>
      </c>
      <c r="J1012">
        <f t="shared" si="80"/>
        <v>3.4771212547196626</v>
      </c>
    </row>
    <row r="1013" spans="1:10" x14ac:dyDescent="0.25">
      <c r="H1013" s="25">
        <f t="shared" si="79"/>
        <v>55.000000000000007</v>
      </c>
      <c r="J1013">
        <f t="shared" si="80"/>
        <v>3.4771212547196626</v>
      </c>
    </row>
    <row r="1014" spans="1:10" x14ac:dyDescent="0.25">
      <c r="H1014" s="25">
        <f t="shared" si="79"/>
        <v>56.000000000000007</v>
      </c>
      <c r="J1014">
        <f t="shared" si="80"/>
        <v>3.4771212547196626</v>
      </c>
    </row>
    <row r="1015" spans="1:10" x14ac:dyDescent="0.25">
      <c r="H1015" s="25">
        <f t="shared" si="79"/>
        <v>57.000000000000007</v>
      </c>
      <c r="J1015">
        <f t="shared" si="80"/>
        <v>3.4771212547196626</v>
      </c>
    </row>
    <row r="1016" spans="1:10" x14ac:dyDescent="0.25">
      <c r="H1016" s="25">
        <f t="shared" si="79"/>
        <v>58.000000000000007</v>
      </c>
      <c r="J1016">
        <f t="shared" si="80"/>
        <v>3.4771212547196626</v>
      </c>
    </row>
    <row r="1017" spans="1:10" x14ac:dyDescent="0.25">
      <c r="H1017" s="25">
        <f t="shared" si="79"/>
        <v>59.000000000000007</v>
      </c>
      <c r="J1017">
        <f t="shared" si="80"/>
        <v>3.4771212547196626</v>
      </c>
    </row>
    <row r="1018" spans="1:10" x14ac:dyDescent="0.25">
      <c r="H1018" s="25">
        <f t="shared" si="79"/>
        <v>60.000000000000007</v>
      </c>
      <c r="J1018">
        <f t="shared" si="80"/>
        <v>3.4771212547196626</v>
      </c>
    </row>
    <row r="1019" spans="1:10" x14ac:dyDescent="0.25">
      <c r="H1019" s="25">
        <f t="shared" si="79"/>
        <v>61.000000000000007</v>
      </c>
      <c r="J1019">
        <f t="shared" si="80"/>
        <v>3.4771212547196626</v>
      </c>
    </row>
    <row r="1020" spans="1:10" x14ac:dyDescent="0.25">
      <c r="H1020" s="25">
        <f t="shared" si="79"/>
        <v>62.000000000000007</v>
      </c>
      <c r="J1020">
        <f t="shared" si="80"/>
        <v>3.4771212547196626</v>
      </c>
    </row>
    <row r="1021" spans="1:10" x14ac:dyDescent="0.25">
      <c r="H1021" s="25">
        <f t="shared" si="79"/>
        <v>63.000000000000007</v>
      </c>
      <c r="J1021">
        <f t="shared" si="80"/>
        <v>3.4771212547196626</v>
      </c>
    </row>
    <row r="1022" spans="1:10" x14ac:dyDescent="0.25">
      <c r="H1022" s="25">
        <f t="shared" si="79"/>
        <v>64</v>
      </c>
      <c r="J1022">
        <f t="shared" si="80"/>
        <v>3.4771212547196626</v>
      </c>
    </row>
    <row r="1023" spans="1:10" x14ac:dyDescent="0.25">
      <c r="H1023" s="25">
        <f t="shared" si="79"/>
        <v>65</v>
      </c>
      <c r="J1023">
        <f t="shared" si="80"/>
        <v>3.4771212547196626</v>
      </c>
    </row>
    <row r="1024" spans="1:10" x14ac:dyDescent="0.25">
      <c r="H1024" s="25">
        <f t="shared" ref="H1024:H1087" si="81">H1023+1</f>
        <v>66</v>
      </c>
      <c r="J1024">
        <f t="shared" ref="J1024:J1087" si="82">J1023</f>
        <v>3.4771212547196626</v>
      </c>
    </row>
    <row r="1025" spans="8:10" x14ac:dyDescent="0.25">
      <c r="H1025" s="25">
        <f t="shared" si="81"/>
        <v>67</v>
      </c>
      <c r="J1025">
        <f t="shared" si="82"/>
        <v>3.4771212547196626</v>
      </c>
    </row>
    <row r="1026" spans="8:10" x14ac:dyDescent="0.25">
      <c r="H1026" s="25">
        <f t="shared" si="81"/>
        <v>68</v>
      </c>
      <c r="J1026">
        <f t="shared" si="82"/>
        <v>3.4771212547196626</v>
      </c>
    </row>
    <row r="1027" spans="8:10" x14ac:dyDescent="0.25">
      <c r="H1027" s="25">
        <f t="shared" si="81"/>
        <v>69</v>
      </c>
      <c r="J1027">
        <f t="shared" si="82"/>
        <v>3.4771212547196626</v>
      </c>
    </row>
    <row r="1028" spans="8:10" x14ac:dyDescent="0.25">
      <c r="H1028" s="25">
        <f t="shared" si="81"/>
        <v>70</v>
      </c>
      <c r="J1028">
        <f t="shared" si="82"/>
        <v>3.4771212547196626</v>
      </c>
    </row>
    <row r="1029" spans="8:10" x14ac:dyDescent="0.25">
      <c r="H1029" s="25">
        <f t="shared" si="81"/>
        <v>71</v>
      </c>
      <c r="J1029">
        <f t="shared" si="82"/>
        <v>3.4771212547196626</v>
      </c>
    </row>
    <row r="1030" spans="8:10" x14ac:dyDescent="0.25">
      <c r="H1030" s="25">
        <f t="shared" si="81"/>
        <v>72</v>
      </c>
      <c r="J1030">
        <f t="shared" si="82"/>
        <v>3.4771212547196626</v>
      </c>
    </row>
    <row r="1031" spans="8:10" x14ac:dyDescent="0.25">
      <c r="H1031" s="25">
        <f t="shared" si="81"/>
        <v>73</v>
      </c>
      <c r="J1031">
        <f t="shared" si="82"/>
        <v>3.4771212547196626</v>
      </c>
    </row>
    <row r="1032" spans="8:10" x14ac:dyDescent="0.25">
      <c r="H1032" s="25">
        <f t="shared" si="81"/>
        <v>74</v>
      </c>
      <c r="J1032">
        <f t="shared" si="82"/>
        <v>3.4771212547196626</v>
      </c>
    </row>
    <row r="1033" spans="8:10" x14ac:dyDescent="0.25">
      <c r="H1033" s="25">
        <f t="shared" si="81"/>
        <v>75</v>
      </c>
      <c r="J1033">
        <f t="shared" si="82"/>
        <v>3.4771212547196626</v>
      </c>
    </row>
    <row r="1034" spans="8:10" x14ac:dyDescent="0.25">
      <c r="H1034" s="25">
        <f t="shared" si="81"/>
        <v>76</v>
      </c>
      <c r="J1034">
        <f t="shared" si="82"/>
        <v>3.4771212547196626</v>
      </c>
    </row>
    <row r="1035" spans="8:10" x14ac:dyDescent="0.25">
      <c r="H1035" s="25">
        <f t="shared" si="81"/>
        <v>77</v>
      </c>
      <c r="J1035">
        <f t="shared" si="82"/>
        <v>3.4771212547196626</v>
      </c>
    </row>
    <row r="1036" spans="8:10" x14ac:dyDescent="0.25">
      <c r="H1036" s="25">
        <f t="shared" si="81"/>
        <v>78</v>
      </c>
      <c r="J1036">
        <f t="shared" si="82"/>
        <v>3.4771212547196626</v>
      </c>
    </row>
    <row r="1037" spans="8:10" x14ac:dyDescent="0.25">
      <c r="H1037" s="25">
        <f t="shared" si="81"/>
        <v>79</v>
      </c>
      <c r="J1037">
        <f t="shared" si="82"/>
        <v>3.4771212547196626</v>
      </c>
    </row>
    <row r="1038" spans="8:10" x14ac:dyDescent="0.25">
      <c r="H1038" s="25">
        <f t="shared" si="81"/>
        <v>80</v>
      </c>
      <c r="J1038">
        <f t="shared" si="82"/>
        <v>3.4771212547196626</v>
      </c>
    </row>
    <row r="1039" spans="8:10" x14ac:dyDescent="0.25">
      <c r="H1039" s="25">
        <f t="shared" si="81"/>
        <v>81</v>
      </c>
      <c r="J1039">
        <f t="shared" si="82"/>
        <v>3.4771212547196626</v>
      </c>
    </row>
    <row r="1040" spans="8:10" x14ac:dyDescent="0.25">
      <c r="H1040" s="25">
        <f t="shared" si="81"/>
        <v>82</v>
      </c>
      <c r="J1040">
        <f t="shared" si="82"/>
        <v>3.4771212547196626</v>
      </c>
    </row>
    <row r="1041" spans="8:10" x14ac:dyDescent="0.25">
      <c r="H1041" s="25">
        <f t="shared" si="81"/>
        <v>83</v>
      </c>
      <c r="J1041">
        <f t="shared" si="82"/>
        <v>3.4771212547196626</v>
      </c>
    </row>
    <row r="1042" spans="8:10" x14ac:dyDescent="0.25">
      <c r="H1042" s="25">
        <f t="shared" si="81"/>
        <v>84</v>
      </c>
      <c r="J1042">
        <f t="shared" si="82"/>
        <v>3.4771212547196626</v>
      </c>
    </row>
    <row r="1043" spans="8:10" x14ac:dyDescent="0.25">
      <c r="H1043" s="25">
        <f t="shared" si="81"/>
        <v>85</v>
      </c>
      <c r="J1043">
        <f t="shared" si="82"/>
        <v>3.4771212547196626</v>
      </c>
    </row>
    <row r="1044" spans="8:10" x14ac:dyDescent="0.25">
      <c r="H1044" s="25">
        <f t="shared" si="81"/>
        <v>86</v>
      </c>
      <c r="J1044">
        <f t="shared" si="82"/>
        <v>3.4771212547196626</v>
      </c>
    </row>
    <row r="1045" spans="8:10" x14ac:dyDescent="0.25">
      <c r="H1045" s="25">
        <f t="shared" si="81"/>
        <v>87</v>
      </c>
      <c r="J1045">
        <f t="shared" si="82"/>
        <v>3.4771212547196626</v>
      </c>
    </row>
    <row r="1046" spans="8:10" x14ac:dyDescent="0.25">
      <c r="H1046" s="25">
        <f t="shared" si="81"/>
        <v>88</v>
      </c>
      <c r="J1046">
        <f t="shared" si="82"/>
        <v>3.4771212547196626</v>
      </c>
    </row>
    <row r="1047" spans="8:10" x14ac:dyDescent="0.25">
      <c r="H1047" s="25">
        <f t="shared" si="81"/>
        <v>89</v>
      </c>
      <c r="J1047">
        <f t="shared" si="82"/>
        <v>3.4771212547196626</v>
      </c>
    </row>
    <row r="1048" spans="8:10" x14ac:dyDescent="0.25">
      <c r="H1048" s="25">
        <f t="shared" si="81"/>
        <v>90</v>
      </c>
      <c r="J1048">
        <f t="shared" si="82"/>
        <v>3.4771212547196626</v>
      </c>
    </row>
    <row r="1049" spans="8:10" x14ac:dyDescent="0.25">
      <c r="H1049" s="25">
        <f t="shared" si="81"/>
        <v>91</v>
      </c>
      <c r="J1049">
        <f t="shared" si="82"/>
        <v>3.4771212547196626</v>
      </c>
    </row>
    <row r="1050" spans="8:10" x14ac:dyDescent="0.25">
      <c r="H1050" s="25">
        <f t="shared" si="81"/>
        <v>92</v>
      </c>
      <c r="J1050">
        <f t="shared" si="82"/>
        <v>3.4771212547196626</v>
      </c>
    </row>
    <row r="1051" spans="8:10" x14ac:dyDescent="0.25">
      <c r="H1051" s="25">
        <f t="shared" si="81"/>
        <v>93</v>
      </c>
      <c r="J1051">
        <f t="shared" si="82"/>
        <v>3.4771212547196626</v>
      </c>
    </row>
    <row r="1052" spans="8:10" x14ac:dyDescent="0.25">
      <c r="H1052" s="25">
        <f t="shared" si="81"/>
        <v>94</v>
      </c>
      <c r="J1052">
        <f t="shared" si="82"/>
        <v>3.4771212547196626</v>
      </c>
    </row>
    <row r="1053" spans="8:10" x14ac:dyDescent="0.25">
      <c r="H1053" s="25">
        <f t="shared" si="81"/>
        <v>95</v>
      </c>
      <c r="J1053">
        <f t="shared" si="82"/>
        <v>3.4771212547196626</v>
      </c>
    </row>
    <row r="1054" spans="8:10" x14ac:dyDescent="0.25">
      <c r="H1054" s="25">
        <f t="shared" si="81"/>
        <v>96</v>
      </c>
      <c r="J1054">
        <f t="shared" si="82"/>
        <v>3.4771212547196626</v>
      </c>
    </row>
    <row r="1055" spans="8:10" x14ac:dyDescent="0.25">
      <c r="H1055" s="25">
        <f t="shared" si="81"/>
        <v>97</v>
      </c>
      <c r="J1055">
        <f t="shared" si="82"/>
        <v>3.4771212547196626</v>
      </c>
    </row>
    <row r="1056" spans="8:10" x14ac:dyDescent="0.25">
      <c r="H1056" s="25">
        <f t="shared" si="81"/>
        <v>98</v>
      </c>
      <c r="J1056">
        <f t="shared" si="82"/>
        <v>3.4771212547196626</v>
      </c>
    </row>
    <row r="1057" spans="8:10" x14ac:dyDescent="0.25">
      <c r="H1057" s="25">
        <f t="shared" si="81"/>
        <v>99</v>
      </c>
      <c r="J1057">
        <f t="shared" si="82"/>
        <v>3.4771212547196626</v>
      </c>
    </row>
    <row r="1058" spans="8:10" x14ac:dyDescent="0.25">
      <c r="H1058" s="25">
        <f t="shared" si="81"/>
        <v>100</v>
      </c>
      <c r="J1058">
        <f t="shared" si="82"/>
        <v>3.4771212547196626</v>
      </c>
    </row>
    <row r="1059" spans="8:10" x14ac:dyDescent="0.25">
      <c r="H1059" s="25">
        <f t="shared" si="81"/>
        <v>101</v>
      </c>
      <c r="J1059">
        <f t="shared" si="82"/>
        <v>3.4771212547196626</v>
      </c>
    </row>
    <row r="1060" spans="8:10" x14ac:dyDescent="0.25">
      <c r="H1060" s="25">
        <f t="shared" si="81"/>
        <v>102</v>
      </c>
      <c r="J1060">
        <f t="shared" si="82"/>
        <v>3.4771212547196626</v>
      </c>
    </row>
    <row r="1061" spans="8:10" x14ac:dyDescent="0.25">
      <c r="H1061" s="25">
        <f t="shared" si="81"/>
        <v>103</v>
      </c>
      <c r="J1061">
        <f t="shared" si="82"/>
        <v>3.4771212547196626</v>
      </c>
    </row>
    <row r="1062" spans="8:10" x14ac:dyDescent="0.25">
      <c r="H1062" s="25">
        <f t="shared" si="81"/>
        <v>104</v>
      </c>
      <c r="J1062">
        <f t="shared" si="82"/>
        <v>3.4771212547196626</v>
      </c>
    </row>
    <row r="1063" spans="8:10" x14ac:dyDescent="0.25">
      <c r="H1063" s="25">
        <f t="shared" si="81"/>
        <v>105</v>
      </c>
      <c r="J1063">
        <f t="shared" si="82"/>
        <v>3.4771212547196626</v>
      </c>
    </row>
    <row r="1064" spans="8:10" x14ac:dyDescent="0.25">
      <c r="H1064" s="25">
        <f t="shared" si="81"/>
        <v>106</v>
      </c>
      <c r="J1064">
        <f t="shared" si="82"/>
        <v>3.4771212547196626</v>
      </c>
    </row>
    <row r="1065" spans="8:10" x14ac:dyDescent="0.25">
      <c r="H1065" s="25">
        <f t="shared" si="81"/>
        <v>107</v>
      </c>
      <c r="J1065">
        <f t="shared" si="82"/>
        <v>3.4771212547196626</v>
      </c>
    </row>
    <row r="1066" spans="8:10" x14ac:dyDescent="0.25">
      <c r="H1066" s="25">
        <f t="shared" si="81"/>
        <v>108</v>
      </c>
      <c r="J1066">
        <f t="shared" si="82"/>
        <v>3.4771212547196626</v>
      </c>
    </row>
    <row r="1067" spans="8:10" x14ac:dyDescent="0.25">
      <c r="H1067" s="25">
        <f t="shared" si="81"/>
        <v>109</v>
      </c>
      <c r="J1067">
        <f t="shared" si="82"/>
        <v>3.4771212547196626</v>
      </c>
    </row>
    <row r="1068" spans="8:10" x14ac:dyDescent="0.25">
      <c r="H1068" s="25">
        <f t="shared" si="81"/>
        <v>110</v>
      </c>
      <c r="J1068">
        <f t="shared" si="82"/>
        <v>3.4771212547196626</v>
      </c>
    </row>
    <row r="1069" spans="8:10" x14ac:dyDescent="0.25">
      <c r="H1069" s="25">
        <f t="shared" si="81"/>
        <v>111</v>
      </c>
      <c r="J1069">
        <f t="shared" si="82"/>
        <v>3.4771212547196626</v>
      </c>
    </row>
    <row r="1070" spans="8:10" x14ac:dyDescent="0.25">
      <c r="H1070" s="25">
        <f t="shared" si="81"/>
        <v>112</v>
      </c>
      <c r="J1070">
        <f t="shared" si="82"/>
        <v>3.4771212547196626</v>
      </c>
    </row>
    <row r="1071" spans="8:10" x14ac:dyDescent="0.25">
      <c r="H1071" s="25">
        <f t="shared" si="81"/>
        <v>113</v>
      </c>
      <c r="J1071">
        <f t="shared" si="82"/>
        <v>3.4771212547196626</v>
      </c>
    </row>
    <row r="1072" spans="8:10" x14ac:dyDescent="0.25">
      <c r="H1072" s="25">
        <f t="shared" si="81"/>
        <v>114</v>
      </c>
      <c r="J1072">
        <f t="shared" si="82"/>
        <v>3.4771212547196626</v>
      </c>
    </row>
    <row r="1073" spans="8:10" x14ac:dyDescent="0.25">
      <c r="H1073" s="25">
        <f t="shared" si="81"/>
        <v>115</v>
      </c>
      <c r="J1073">
        <f t="shared" si="82"/>
        <v>3.4771212547196626</v>
      </c>
    </row>
    <row r="1074" spans="8:10" x14ac:dyDescent="0.25">
      <c r="H1074" s="25">
        <f t="shared" si="81"/>
        <v>116</v>
      </c>
      <c r="J1074">
        <f t="shared" si="82"/>
        <v>3.4771212547196626</v>
      </c>
    </row>
    <row r="1075" spans="8:10" x14ac:dyDescent="0.25">
      <c r="H1075" s="25">
        <f t="shared" si="81"/>
        <v>117</v>
      </c>
      <c r="J1075">
        <f t="shared" si="82"/>
        <v>3.4771212547196626</v>
      </c>
    </row>
    <row r="1076" spans="8:10" x14ac:dyDescent="0.25">
      <c r="H1076" s="25">
        <f t="shared" si="81"/>
        <v>118</v>
      </c>
      <c r="J1076">
        <f t="shared" si="82"/>
        <v>3.4771212547196626</v>
      </c>
    </row>
    <row r="1077" spans="8:10" x14ac:dyDescent="0.25">
      <c r="H1077" s="25">
        <f t="shared" si="81"/>
        <v>119</v>
      </c>
      <c r="J1077">
        <f t="shared" si="82"/>
        <v>3.4771212547196626</v>
      </c>
    </row>
    <row r="1078" spans="8:10" x14ac:dyDescent="0.25">
      <c r="H1078" s="25">
        <f t="shared" si="81"/>
        <v>120</v>
      </c>
      <c r="J1078">
        <f t="shared" si="82"/>
        <v>3.4771212547196626</v>
      </c>
    </row>
    <row r="1079" spans="8:10" x14ac:dyDescent="0.25">
      <c r="H1079" s="25">
        <f t="shared" si="81"/>
        <v>121</v>
      </c>
      <c r="J1079">
        <f t="shared" si="82"/>
        <v>3.4771212547196626</v>
      </c>
    </row>
    <row r="1080" spans="8:10" x14ac:dyDescent="0.25">
      <c r="H1080" s="25">
        <f t="shared" si="81"/>
        <v>122</v>
      </c>
      <c r="J1080">
        <f t="shared" si="82"/>
        <v>3.4771212547196626</v>
      </c>
    </row>
    <row r="1081" spans="8:10" x14ac:dyDescent="0.25">
      <c r="H1081" s="25">
        <f t="shared" si="81"/>
        <v>123</v>
      </c>
      <c r="J1081">
        <f t="shared" si="82"/>
        <v>3.4771212547196626</v>
      </c>
    </row>
    <row r="1082" spans="8:10" x14ac:dyDescent="0.25">
      <c r="H1082" s="25">
        <f t="shared" si="81"/>
        <v>124</v>
      </c>
      <c r="J1082">
        <f t="shared" si="82"/>
        <v>3.4771212547196626</v>
      </c>
    </row>
    <row r="1083" spans="8:10" x14ac:dyDescent="0.25">
      <c r="H1083" s="25">
        <f t="shared" si="81"/>
        <v>125</v>
      </c>
      <c r="J1083">
        <f t="shared" si="82"/>
        <v>3.4771212547196626</v>
      </c>
    </row>
    <row r="1084" spans="8:10" x14ac:dyDescent="0.25">
      <c r="H1084" s="25">
        <f t="shared" si="81"/>
        <v>126</v>
      </c>
      <c r="J1084">
        <f t="shared" si="82"/>
        <v>3.4771212547196626</v>
      </c>
    </row>
    <row r="1085" spans="8:10" x14ac:dyDescent="0.25">
      <c r="H1085" s="25">
        <f t="shared" si="81"/>
        <v>127</v>
      </c>
      <c r="J1085">
        <f t="shared" si="82"/>
        <v>3.4771212547196626</v>
      </c>
    </row>
    <row r="1086" spans="8:10" x14ac:dyDescent="0.25">
      <c r="H1086" s="25">
        <f t="shared" si="81"/>
        <v>128</v>
      </c>
      <c r="J1086">
        <f t="shared" si="82"/>
        <v>3.4771212547196626</v>
      </c>
    </row>
    <row r="1087" spans="8:10" x14ac:dyDescent="0.25">
      <c r="H1087" s="25">
        <f t="shared" si="81"/>
        <v>129</v>
      </c>
      <c r="J1087">
        <f t="shared" si="82"/>
        <v>3.4771212547196626</v>
      </c>
    </row>
    <row r="1088" spans="8:10" x14ac:dyDescent="0.25">
      <c r="H1088" s="25">
        <f t="shared" ref="H1088:H1125" si="83">H1087+1</f>
        <v>130</v>
      </c>
      <c r="J1088">
        <f t="shared" ref="J1088:J1125" si="84">J1087</f>
        <v>3.4771212547196626</v>
      </c>
    </row>
    <row r="1089" spans="8:10" x14ac:dyDescent="0.25">
      <c r="H1089" s="25">
        <f t="shared" si="83"/>
        <v>131</v>
      </c>
      <c r="J1089">
        <f t="shared" si="84"/>
        <v>3.4771212547196626</v>
      </c>
    </row>
    <row r="1090" spans="8:10" x14ac:dyDescent="0.25">
      <c r="H1090" s="25">
        <f t="shared" si="83"/>
        <v>132</v>
      </c>
      <c r="J1090">
        <f t="shared" si="84"/>
        <v>3.4771212547196626</v>
      </c>
    </row>
    <row r="1091" spans="8:10" x14ac:dyDescent="0.25">
      <c r="H1091" s="25">
        <f t="shared" si="83"/>
        <v>133</v>
      </c>
      <c r="J1091">
        <f t="shared" si="84"/>
        <v>3.4771212547196626</v>
      </c>
    </row>
    <row r="1092" spans="8:10" x14ac:dyDescent="0.25">
      <c r="H1092" s="25">
        <f t="shared" si="83"/>
        <v>134</v>
      </c>
      <c r="J1092">
        <f t="shared" si="84"/>
        <v>3.4771212547196626</v>
      </c>
    </row>
    <row r="1093" spans="8:10" x14ac:dyDescent="0.25">
      <c r="H1093" s="25">
        <f t="shared" si="83"/>
        <v>135</v>
      </c>
      <c r="J1093">
        <f t="shared" si="84"/>
        <v>3.4771212547196626</v>
      </c>
    </row>
    <row r="1094" spans="8:10" x14ac:dyDescent="0.25">
      <c r="H1094" s="25">
        <f t="shared" si="83"/>
        <v>136</v>
      </c>
      <c r="J1094">
        <f t="shared" si="84"/>
        <v>3.4771212547196626</v>
      </c>
    </row>
    <row r="1095" spans="8:10" x14ac:dyDescent="0.25">
      <c r="H1095" s="25">
        <f t="shared" si="83"/>
        <v>137</v>
      </c>
      <c r="J1095">
        <f t="shared" si="84"/>
        <v>3.4771212547196626</v>
      </c>
    </row>
    <row r="1096" spans="8:10" x14ac:dyDescent="0.25">
      <c r="H1096" s="25">
        <f t="shared" si="83"/>
        <v>138</v>
      </c>
      <c r="J1096">
        <f t="shared" si="84"/>
        <v>3.4771212547196626</v>
      </c>
    </row>
    <row r="1097" spans="8:10" x14ac:dyDescent="0.25">
      <c r="H1097" s="25">
        <f t="shared" si="83"/>
        <v>139</v>
      </c>
      <c r="J1097">
        <f t="shared" si="84"/>
        <v>3.4771212547196626</v>
      </c>
    </row>
    <row r="1098" spans="8:10" x14ac:dyDescent="0.25">
      <c r="H1098" s="25">
        <f t="shared" si="83"/>
        <v>140</v>
      </c>
      <c r="J1098">
        <f t="shared" si="84"/>
        <v>3.4771212547196626</v>
      </c>
    </row>
    <row r="1099" spans="8:10" x14ac:dyDescent="0.25">
      <c r="H1099" s="25">
        <f t="shared" si="83"/>
        <v>141</v>
      </c>
      <c r="J1099">
        <f t="shared" si="84"/>
        <v>3.4771212547196626</v>
      </c>
    </row>
    <row r="1100" spans="8:10" x14ac:dyDescent="0.25">
      <c r="H1100" s="25">
        <f t="shared" si="83"/>
        <v>142</v>
      </c>
      <c r="J1100">
        <f t="shared" si="84"/>
        <v>3.4771212547196626</v>
      </c>
    </row>
    <row r="1101" spans="8:10" x14ac:dyDescent="0.25">
      <c r="H1101" s="25">
        <f t="shared" si="83"/>
        <v>143</v>
      </c>
      <c r="J1101">
        <f t="shared" si="84"/>
        <v>3.4771212547196626</v>
      </c>
    </row>
    <row r="1102" spans="8:10" x14ac:dyDescent="0.25">
      <c r="H1102" s="25">
        <f t="shared" si="83"/>
        <v>144</v>
      </c>
      <c r="J1102">
        <f t="shared" si="84"/>
        <v>3.4771212547196626</v>
      </c>
    </row>
    <row r="1103" spans="8:10" x14ac:dyDescent="0.25">
      <c r="H1103" s="25">
        <f t="shared" si="83"/>
        <v>145</v>
      </c>
      <c r="J1103">
        <f t="shared" si="84"/>
        <v>3.4771212547196626</v>
      </c>
    </row>
    <row r="1104" spans="8:10" x14ac:dyDescent="0.25">
      <c r="H1104" s="25">
        <f t="shared" si="83"/>
        <v>146</v>
      </c>
      <c r="J1104">
        <f t="shared" si="84"/>
        <v>3.4771212547196626</v>
      </c>
    </row>
    <row r="1105" spans="8:10" x14ac:dyDescent="0.25">
      <c r="H1105" s="25">
        <f t="shared" si="83"/>
        <v>147</v>
      </c>
      <c r="J1105">
        <f t="shared" si="84"/>
        <v>3.4771212547196626</v>
      </c>
    </row>
    <row r="1106" spans="8:10" x14ac:dyDescent="0.25">
      <c r="H1106" s="25">
        <f t="shared" si="83"/>
        <v>148</v>
      </c>
      <c r="J1106">
        <f t="shared" si="84"/>
        <v>3.4771212547196626</v>
      </c>
    </row>
    <row r="1107" spans="8:10" x14ac:dyDescent="0.25">
      <c r="H1107" s="25">
        <f t="shared" si="83"/>
        <v>149</v>
      </c>
      <c r="J1107">
        <f t="shared" si="84"/>
        <v>3.4771212547196626</v>
      </c>
    </row>
    <row r="1108" spans="8:10" x14ac:dyDescent="0.25">
      <c r="H1108" s="25">
        <f t="shared" si="83"/>
        <v>150</v>
      </c>
      <c r="J1108">
        <f t="shared" si="84"/>
        <v>3.4771212547196626</v>
      </c>
    </row>
    <row r="1109" spans="8:10" x14ac:dyDescent="0.25">
      <c r="H1109" s="25">
        <f t="shared" si="83"/>
        <v>151</v>
      </c>
      <c r="J1109">
        <f t="shared" si="84"/>
        <v>3.4771212547196626</v>
      </c>
    </row>
    <row r="1110" spans="8:10" x14ac:dyDescent="0.25">
      <c r="H1110" s="25">
        <f t="shared" si="83"/>
        <v>152</v>
      </c>
      <c r="J1110">
        <f t="shared" si="84"/>
        <v>3.4771212547196626</v>
      </c>
    </row>
    <row r="1111" spans="8:10" x14ac:dyDescent="0.25">
      <c r="H1111" s="25">
        <f t="shared" si="83"/>
        <v>153</v>
      </c>
      <c r="J1111">
        <f t="shared" si="84"/>
        <v>3.4771212547196626</v>
      </c>
    </row>
    <row r="1112" spans="8:10" x14ac:dyDescent="0.25">
      <c r="H1112" s="25">
        <f t="shared" si="83"/>
        <v>154</v>
      </c>
      <c r="J1112">
        <f t="shared" si="84"/>
        <v>3.4771212547196626</v>
      </c>
    </row>
    <row r="1113" spans="8:10" x14ac:dyDescent="0.25">
      <c r="H1113" s="25">
        <f t="shared" si="83"/>
        <v>155</v>
      </c>
      <c r="J1113">
        <f t="shared" si="84"/>
        <v>3.4771212547196626</v>
      </c>
    </row>
    <row r="1114" spans="8:10" x14ac:dyDescent="0.25">
      <c r="H1114" s="25">
        <f t="shared" si="83"/>
        <v>156</v>
      </c>
      <c r="J1114">
        <f t="shared" si="84"/>
        <v>3.4771212547196626</v>
      </c>
    </row>
    <row r="1115" spans="8:10" x14ac:dyDescent="0.25">
      <c r="H1115" s="25">
        <f t="shared" si="83"/>
        <v>157</v>
      </c>
      <c r="J1115">
        <f t="shared" si="84"/>
        <v>3.4771212547196626</v>
      </c>
    </row>
    <row r="1116" spans="8:10" x14ac:dyDescent="0.25">
      <c r="H1116" s="25">
        <f t="shared" si="83"/>
        <v>158</v>
      </c>
      <c r="J1116">
        <f t="shared" si="84"/>
        <v>3.4771212547196626</v>
      </c>
    </row>
    <row r="1117" spans="8:10" x14ac:dyDescent="0.25">
      <c r="H1117" s="25">
        <f t="shared" si="83"/>
        <v>159</v>
      </c>
      <c r="J1117">
        <f t="shared" si="84"/>
        <v>3.4771212547196626</v>
      </c>
    </row>
    <row r="1118" spans="8:10" x14ac:dyDescent="0.25">
      <c r="H1118" s="25">
        <f t="shared" si="83"/>
        <v>160</v>
      </c>
      <c r="J1118">
        <f t="shared" si="84"/>
        <v>3.4771212547196626</v>
      </c>
    </row>
    <row r="1119" spans="8:10" x14ac:dyDescent="0.25">
      <c r="H1119" s="25">
        <f t="shared" si="83"/>
        <v>161</v>
      </c>
      <c r="J1119">
        <f t="shared" si="84"/>
        <v>3.4771212547196626</v>
      </c>
    </row>
    <row r="1120" spans="8:10" x14ac:dyDescent="0.25">
      <c r="H1120" s="25">
        <f t="shared" si="83"/>
        <v>162</v>
      </c>
      <c r="J1120">
        <f t="shared" si="84"/>
        <v>3.4771212547196626</v>
      </c>
    </row>
    <row r="1121" spans="8:10" x14ac:dyDescent="0.25">
      <c r="H1121" s="25">
        <f t="shared" si="83"/>
        <v>163</v>
      </c>
      <c r="J1121">
        <f t="shared" si="84"/>
        <v>3.4771212547196626</v>
      </c>
    </row>
    <row r="1122" spans="8:10" x14ac:dyDescent="0.25">
      <c r="H1122" s="25">
        <f t="shared" si="83"/>
        <v>164</v>
      </c>
      <c r="J1122">
        <f t="shared" si="84"/>
        <v>3.4771212547196626</v>
      </c>
    </row>
    <row r="1123" spans="8:10" x14ac:dyDescent="0.25">
      <c r="H1123" s="25">
        <f t="shared" si="83"/>
        <v>165</v>
      </c>
      <c r="J1123">
        <f t="shared" si="84"/>
        <v>3.4771212547196626</v>
      </c>
    </row>
    <row r="1124" spans="8:10" x14ac:dyDescent="0.25">
      <c r="H1124" s="25">
        <f t="shared" si="83"/>
        <v>166</v>
      </c>
      <c r="J1124">
        <f t="shared" si="84"/>
        <v>3.4771212547196626</v>
      </c>
    </row>
    <row r="1125" spans="8:10" x14ac:dyDescent="0.25">
      <c r="H1125" s="25">
        <f t="shared" si="83"/>
        <v>167</v>
      </c>
      <c r="J1125">
        <f t="shared" si="84"/>
        <v>3.4771212547196626</v>
      </c>
    </row>
  </sheetData>
  <scenarios current="0" show="0">
    <scenario name="1" locked="1" count="1" user="Thimo" comment="Created by Thimo on 10/05/2021_x000a_Modified by Thimo on 10/05/2021">
      <inputCells r="AQ2" val="300"/>
    </scenario>
  </scenarios>
  <mergeCells count="16">
    <mergeCell ref="A1009:G1009"/>
    <mergeCell ref="L5:O5"/>
    <mergeCell ref="A6:E6"/>
    <mergeCell ref="G6:J6"/>
    <mergeCell ref="A1:G1"/>
    <mergeCell ref="P5:S5"/>
    <mergeCell ref="A17:E17"/>
    <mergeCell ref="BJ5:BM5"/>
    <mergeCell ref="BL2:BM2"/>
    <mergeCell ref="A12:E12"/>
    <mergeCell ref="A5:J5"/>
    <mergeCell ref="AB6:AG6"/>
    <mergeCell ref="AQ3:AT5"/>
    <mergeCell ref="BA6:BD6"/>
    <mergeCell ref="AO6:AV6"/>
    <mergeCell ref="BG6:BN6"/>
  </mergeCells>
  <pageMargins left="0.7" right="0.7" top="0.75" bottom="0.75" header="0.3" footer="0.3"/>
  <pageSetup paperSize="9" orientation="portrait" r:id="rId1"/>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published="0" codeName="Sheet3"/>
  <dimension ref="A3:A103"/>
  <sheetViews>
    <sheetView topLeftCell="A13" zoomScaleNormal="100" workbookViewId="0">
      <selection activeCell="H36" sqref="H36"/>
    </sheetView>
  </sheetViews>
  <sheetFormatPr defaultRowHeight="15" x14ac:dyDescent="0.25"/>
  <cols>
    <col min="1" max="1" width="17" customWidth="1"/>
  </cols>
  <sheetData>
    <row r="3" spans="1:1" x14ac:dyDescent="0.25">
      <c r="A3" s="2"/>
    </row>
    <row r="4" spans="1:1" x14ac:dyDescent="0.25">
      <c r="A4" s="2"/>
    </row>
    <row r="5" spans="1:1" x14ac:dyDescent="0.25">
      <c r="A5" s="2"/>
    </row>
    <row r="6" spans="1:1" x14ac:dyDescent="0.25">
      <c r="A6" s="2"/>
    </row>
    <row r="7" spans="1:1" x14ac:dyDescent="0.25">
      <c r="A7" s="2"/>
    </row>
    <row r="8" spans="1:1" x14ac:dyDescent="0.25">
      <c r="A8" s="2"/>
    </row>
    <row r="9" spans="1:1" x14ac:dyDescent="0.25">
      <c r="A9" s="2"/>
    </row>
    <row r="10" spans="1:1" x14ac:dyDescent="0.25">
      <c r="A10" s="2"/>
    </row>
    <row r="11" spans="1:1" x14ac:dyDescent="0.25">
      <c r="A11" s="2"/>
    </row>
    <row r="12" spans="1:1" x14ac:dyDescent="0.25">
      <c r="A12" s="2"/>
    </row>
    <row r="13" spans="1:1" x14ac:dyDescent="0.25">
      <c r="A13" s="2"/>
    </row>
    <row r="14" spans="1:1" x14ac:dyDescent="0.25">
      <c r="A14" s="2"/>
    </row>
    <row r="15" spans="1:1" x14ac:dyDescent="0.25">
      <c r="A15" s="2"/>
    </row>
    <row r="16" spans="1:1" x14ac:dyDescent="0.25">
      <c r="A16" s="2"/>
    </row>
    <row r="17" spans="1:1" x14ac:dyDescent="0.25">
      <c r="A17" s="2"/>
    </row>
    <row r="18" spans="1:1" x14ac:dyDescent="0.25">
      <c r="A18" s="2"/>
    </row>
    <row r="19" spans="1:1" x14ac:dyDescent="0.25">
      <c r="A19" s="2"/>
    </row>
    <row r="20" spans="1:1" x14ac:dyDescent="0.25">
      <c r="A20" s="2"/>
    </row>
    <row r="21" spans="1:1" x14ac:dyDescent="0.25">
      <c r="A21" s="2"/>
    </row>
    <row r="22" spans="1:1" x14ac:dyDescent="0.25">
      <c r="A22" s="2"/>
    </row>
    <row r="23" spans="1:1" x14ac:dyDescent="0.25">
      <c r="A23" s="2"/>
    </row>
    <row r="24" spans="1:1" x14ac:dyDescent="0.25">
      <c r="A24" s="2"/>
    </row>
    <row r="25" spans="1:1" x14ac:dyDescent="0.25">
      <c r="A25" s="2"/>
    </row>
    <row r="26" spans="1:1" x14ac:dyDescent="0.25">
      <c r="A26" s="2"/>
    </row>
    <row r="27" spans="1:1" x14ac:dyDescent="0.25">
      <c r="A27" s="2"/>
    </row>
    <row r="28" spans="1:1" x14ac:dyDescent="0.25">
      <c r="A28" s="2"/>
    </row>
    <row r="29" spans="1:1" x14ac:dyDescent="0.25">
      <c r="A29" s="2"/>
    </row>
    <row r="30" spans="1:1" x14ac:dyDescent="0.25">
      <c r="A30" s="2"/>
    </row>
    <row r="31" spans="1:1" x14ac:dyDescent="0.25">
      <c r="A31" s="2"/>
    </row>
    <row r="32" spans="1:1" x14ac:dyDescent="0.25">
      <c r="A32" s="2"/>
    </row>
    <row r="33" spans="1:1" x14ac:dyDescent="0.25">
      <c r="A33" s="2"/>
    </row>
    <row r="34" spans="1:1" x14ac:dyDescent="0.25">
      <c r="A34" s="2"/>
    </row>
    <row r="35" spans="1:1" x14ac:dyDescent="0.25">
      <c r="A35" s="2"/>
    </row>
    <row r="36" spans="1:1" x14ac:dyDescent="0.25">
      <c r="A36" s="2"/>
    </row>
    <row r="37" spans="1:1" x14ac:dyDescent="0.25">
      <c r="A37" s="2"/>
    </row>
    <row r="38" spans="1:1" x14ac:dyDescent="0.25">
      <c r="A38" s="2"/>
    </row>
    <row r="39" spans="1:1" x14ac:dyDescent="0.25">
      <c r="A39" s="2"/>
    </row>
    <row r="40" spans="1:1" x14ac:dyDescent="0.25">
      <c r="A40" s="2"/>
    </row>
    <row r="41" spans="1:1" x14ac:dyDescent="0.25">
      <c r="A41" s="2"/>
    </row>
    <row r="42" spans="1:1" x14ac:dyDescent="0.25">
      <c r="A42" s="2"/>
    </row>
    <row r="43" spans="1:1" x14ac:dyDescent="0.25">
      <c r="A43" s="2"/>
    </row>
    <row r="44" spans="1:1" x14ac:dyDescent="0.25">
      <c r="A44" s="2"/>
    </row>
    <row r="45" spans="1:1" x14ac:dyDescent="0.25">
      <c r="A45" s="2"/>
    </row>
    <row r="46" spans="1:1" x14ac:dyDescent="0.25">
      <c r="A46" s="2"/>
    </row>
    <row r="47" spans="1:1" x14ac:dyDescent="0.25">
      <c r="A47" s="2"/>
    </row>
    <row r="48" spans="1:1" x14ac:dyDescent="0.25">
      <c r="A48" s="2"/>
    </row>
    <row r="49" spans="1:1" x14ac:dyDescent="0.25">
      <c r="A49" s="2"/>
    </row>
    <row r="50" spans="1:1" x14ac:dyDescent="0.25">
      <c r="A50" s="2"/>
    </row>
    <row r="51" spans="1:1" x14ac:dyDescent="0.25">
      <c r="A51" s="2"/>
    </row>
    <row r="52" spans="1:1" x14ac:dyDescent="0.25">
      <c r="A52" s="2"/>
    </row>
    <row r="53" spans="1:1" x14ac:dyDescent="0.25">
      <c r="A53" s="2"/>
    </row>
    <row r="54" spans="1:1" x14ac:dyDescent="0.25">
      <c r="A54" s="2"/>
    </row>
    <row r="55" spans="1:1" x14ac:dyDescent="0.25">
      <c r="A55" s="2"/>
    </row>
    <row r="56" spans="1:1" x14ac:dyDescent="0.25">
      <c r="A56" s="2"/>
    </row>
    <row r="57" spans="1:1" x14ac:dyDescent="0.25">
      <c r="A57" s="2"/>
    </row>
    <row r="58" spans="1:1" x14ac:dyDescent="0.25">
      <c r="A58" s="2"/>
    </row>
    <row r="59" spans="1:1" x14ac:dyDescent="0.25">
      <c r="A59" s="2"/>
    </row>
    <row r="60" spans="1:1" x14ac:dyDescent="0.25">
      <c r="A60" s="2"/>
    </row>
    <row r="61" spans="1:1" x14ac:dyDescent="0.25">
      <c r="A61" s="2"/>
    </row>
    <row r="62" spans="1:1" x14ac:dyDescent="0.25">
      <c r="A62" s="2"/>
    </row>
    <row r="63" spans="1:1" x14ac:dyDescent="0.25">
      <c r="A63" s="2"/>
    </row>
    <row r="64" spans="1:1" x14ac:dyDescent="0.25">
      <c r="A64" s="2"/>
    </row>
    <row r="65" spans="1:1" x14ac:dyDescent="0.25">
      <c r="A65" s="2"/>
    </row>
    <row r="66" spans="1:1" x14ac:dyDescent="0.25">
      <c r="A66" s="2"/>
    </row>
    <row r="67" spans="1:1" x14ac:dyDescent="0.25">
      <c r="A67" s="2"/>
    </row>
    <row r="68" spans="1:1" x14ac:dyDescent="0.25">
      <c r="A68" s="2"/>
    </row>
    <row r="69" spans="1:1" x14ac:dyDescent="0.25">
      <c r="A69" s="2"/>
    </row>
    <row r="70" spans="1:1" x14ac:dyDescent="0.25">
      <c r="A70" s="2"/>
    </row>
    <row r="71" spans="1:1" x14ac:dyDescent="0.25">
      <c r="A71" s="2"/>
    </row>
    <row r="72" spans="1:1" x14ac:dyDescent="0.25">
      <c r="A72" s="2"/>
    </row>
    <row r="73" spans="1:1" x14ac:dyDescent="0.25">
      <c r="A73" s="2"/>
    </row>
    <row r="74" spans="1:1" x14ac:dyDescent="0.25">
      <c r="A74" s="2"/>
    </row>
    <row r="75" spans="1:1" x14ac:dyDescent="0.25">
      <c r="A75" s="2"/>
    </row>
    <row r="76" spans="1:1" x14ac:dyDescent="0.25">
      <c r="A76" s="2"/>
    </row>
    <row r="77" spans="1:1" x14ac:dyDescent="0.25">
      <c r="A77" s="2"/>
    </row>
    <row r="78" spans="1:1" x14ac:dyDescent="0.25">
      <c r="A78" s="2"/>
    </row>
    <row r="79" spans="1:1" x14ac:dyDescent="0.25">
      <c r="A79" s="2"/>
    </row>
    <row r="80" spans="1:1" x14ac:dyDescent="0.25">
      <c r="A80" s="2"/>
    </row>
    <row r="81" spans="1:1" x14ac:dyDescent="0.25">
      <c r="A81" s="2"/>
    </row>
    <row r="82" spans="1:1" x14ac:dyDescent="0.25">
      <c r="A82" s="2"/>
    </row>
    <row r="83" spans="1:1" x14ac:dyDescent="0.25">
      <c r="A83" s="2"/>
    </row>
    <row r="84" spans="1:1" x14ac:dyDescent="0.25">
      <c r="A84" s="2"/>
    </row>
    <row r="85" spans="1:1" x14ac:dyDescent="0.25">
      <c r="A85" s="2"/>
    </row>
    <row r="86" spans="1:1" x14ac:dyDescent="0.25">
      <c r="A86" s="2"/>
    </row>
    <row r="87" spans="1:1" x14ac:dyDescent="0.25">
      <c r="A87" s="2"/>
    </row>
    <row r="88" spans="1:1" x14ac:dyDescent="0.25">
      <c r="A88" s="2"/>
    </row>
    <row r="89" spans="1:1" x14ac:dyDescent="0.25">
      <c r="A89" s="2"/>
    </row>
    <row r="90" spans="1:1" x14ac:dyDescent="0.25">
      <c r="A90" s="2"/>
    </row>
    <row r="91" spans="1:1" x14ac:dyDescent="0.25">
      <c r="A91" s="2"/>
    </row>
    <row r="92" spans="1:1" x14ac:dyDescent="0.25">
      <c r="A92" s="2"/>
    </row>
    <row r="93" spans="1:1" x14ac:dyDescent="0.25">
      <c r="A93" s="2"/>
    </row>
    <row r="94" spans="1:1" x14ac:dyDescent="0.25">
      <c r="A94" s="2"/>
    </row>
    <row r="95" spans="1:1" x14ac:dyDescent="0.25">
      <c r="A95" s="2"/>
    </row>
    <row r="96" spans="1:1" x14ac:dyDescent="0.25">
      <c r="A96" s="2"/>
    </row>
    <row r="97" spans="1:1" x14ac:dyDescent="0.25">
      <c r="A97" s="2"/>
    </row>
    <row r="98" spans="1:1" x14ac:dyDescent="0.25">
      <c r="A98" s="2"/>
    </row>
    <row r="99" spans="1:1" x14ac:dyDescent="0.25">
      <c r="A99" s="2"/>
    </row>
    <row r="100" spans="1:1" x14ac:dyDescent="0.25">
      <c r="A100" s="2"/>
    </row>
    <row r="101" spans="1:1" x14ac:dyDescent="0.25">
      <c r="A101" s="2"/>
    </row>
    <row r="102" spans="1:1" x14ac:dyDescent="0.25">
      <c r="A102" s="2"/>
    </row>
    <row r="103" spans="1:1" x14ac:dyDescent="0.25">
      <c r="A103" s="2"/>
    </row>
  </sheetData>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805E411E-E0BB-4869-9CB0-61A87D3EC9E6}">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8</vt:i4>
      </vt:variant>
    </vt:vector>
  </HeadingPairs>
  <TitlesOfParts>
    <vt:vector size="10" baseType="lpstr">
      <vt:lpstr>Sheet1</vt:lpstr>
      <vt:lpstr>Sheet3</vt:lpstr>
      <vt:lpstr>coordinate</vt:lpstr>
      <vt:lpstr>Interval</vt:lpstr>
      <vt:lpstr>Points</vt:lpstr>
      <vt:lpstr>Px_t</vt:lpstr>
      <vt:lpstr>Py_t</vt:lpstr>
      <vt:lpstr>t</vt:lpstr>
      <vt:lpstr>value_x</vt:lpstr>
      <vt:lpstr>value_y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Thimo</dc:creator>
  <cp:lastModifiedBy>Aetholite Thol</cp:lastModifiedBy>
  <dcterms:created xsi:type="dcterms:W3CDTF">2021-04-23T12:30:36Z</dcterms:created>
  <dcterms:modified xsi:type="dcterms:W3CDTF">2021-06-23T15:06:28Z</dcterms:modified>
</cp:coreProperties>
</file>